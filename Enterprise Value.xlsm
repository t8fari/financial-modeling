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\Desktop\"/>
    </mc:Choice>
  </mc:AlternateContent>
  <xr:revisionPtr revIDLastSave="0" documentId="13_ncr:1_{DF5D7186-1B66-4256-BFE5-6AE649F6B5CA}" xr6:coauthVersionLast="47" xr6:coauthVersionMax="47" xr10:uidLastSave="{00000000-0000-0000-0000-000000000000}"/>
  <bookViews>
    <workbookView xWindow="-120" yWindow="-120" windowWidth="20730" windowHeight="11310" firstSheet="2" activeTab="3" xr2:uid="{DB56E420-9C35-41F5-BA17-7A68A793D80B}"/>
  </bookViews>
  <sheets>
    <sheet name="CAT Bal. Sheet" sheetId="6" r:id="rId1"/>
    <sheet name="Accounting EV Caterpillar Inc." sheetId="3" r:id="rId2"/>
    <sheet name="The Efficient Markets Approach" sheetId="4" r:id="rId3"/>
    <sheet name="Using Multiples to value CAT" sheetId="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3" i="7" l="1"/>
  <c r="B94" i="7"/>
  <c r="B101" i="7" s="1"/>
  <c r="B95" i="7"/>
  <c r="B96" i="7"/>
  <c r="B92" i="7"/>
  <c r="B99" i="7" s="1"/>
  <c r="B103" i="7"/>
  <c r="B102" i="7"/>
  <c r="E77" i="7"/>
  <c r="E74" i="7" s="1"/>
  <c r="E66" i="7"/>
  <c r="B64" i="7"/>
  <c r="B77" i="7" s="1"/>
  <c r="B61" i="7"/>
  <c r="B36" i="7"/>
  <c r="B59" i="7" s="1"/>
  <c r="E32" i="7"/>
  <c r="B60" i="7" s="1"/>
  <c r="B30" i="7"/>
  <c r="E63" i="7" s="1"/>
  <c r="E64" i="7" s="1"/>
  <c r="B100" i="7"/>
  <c r="B22" i="7"/>
  <c r="E13" i="7"/>
  <c r="E22" i="7" s="1"/>
  <c r="E13" i="6"/>
  <c r="E20" i="6" s="1"/>
  <c r="E24" i="6" s="1"/>
  <c r="B10" i="6"/>
  <c r="B24" i="6" s="1"/>
  <c r="D92" i="7" a="1"/>
  <c r="C99" i="7" a="1"/>
  <c r="D92" i="7" l="1"/>
  <c r="E54" i="7"/>
  <c r="C99" i="7"/>
  <c r="B104" i="7"/>
  <c r="B108" i="7" s="1"/>
  <c r="E76" i="7"/>
  <c r="E78" i="7" s="1"/>
  <c r="E68" i="7"/>
  <c r="B62" i="7"/>
  <c r="B68" i="7" s="1"/>
  <c r="B54" i="7"/>
  <c r="E9" i="4"/>
  <c r="E6" i="4" s="1"/>
  <c r="A59" i="3"/>
  <c r="E38" i="3"/>
  <c r="E39" i="3"/>
  <c r="E40" i="3"/>
  <c r="D40" i="3"/>
  <c r="D39" i="3"/>
  <c r="D38" i="3"/>
  <c r="E47" i="3"/>
  <c r="E61" i="3" s="1"/>
  <c r="D47" i="3"/>
  <c r="D61" i="3" s="1"/>
  <c r="E34" i="3"/>
  <c r="E35" i="3" s="1"/>
  <c r="B60" i="3" s="1"/>
  <c r="D34" i="3"/>
  <c r="B50" i="3"/>
  <c r="B66" i="3" s="1"/>
  <c r="A50" i="3"/>
  <c r="B46" i="3"/>
  <c r="B47" i="3"/>
  <c r="A47" i="3"/>
  <c r="A46" i="3"/>
  <c r="B43" i="3"/>
  <c r="B56" i="3" s="1"/>
  <c r="A43" i="3"/>
  <c r="A37" i="3"/>
  <c r="B37" i="3"/>
  <c r="B38" i="3"/>
  <c r="B39" i="3"/>
  <c r="A39" i="3"/>
  <c r="A38" i="3"/>
  <c r="B36" i="3"/>
  <c r="B35" i="3"/>
  <c r="B34" i="3"/>
  <c r="B33" i="3"/>
  <c r="A36" i="3"/>
  <c r="A35" i="3"/>
  <c r="A34" i="3"/>
  <c r="A33" i="3"/>
  <c r="B30" i="3"/>
  <c r="A30" i="3"/>
  <c r="E13" i="3"/>
  <c r="E20" i="3" s="1"/>
  <c r="E24" i="3" s="1"/>
  <c r="B10" i="3"/>
  <c r="B24" i="3" s="1"/>
  <c r="A6" i="4" a="1"/>
  <c r="F9" i="4" a="1"/>
  <c r="B78" i="7" l="1"/>
  <c r="B76" i="7"/>
  <c r="B40" i="3"/>
  <c r="B59" i="3" s="1"/>
  <c r="B61" i="3" s="1"/>
  <c r="E58" i="3"/>
  <c r="F9" i="4"/>
  <c r="A6" i="4"/>
  <c r="E11" i="4"/>
  <c r="B8" i="4"/>
  <c r="B11" i="4" s="1"/>
  <c r="B63" i="3"/>
  <c r="E45" i="3"/>
  <c r="E52" i="3" l="1"/>
  <c r="E57" i="3"/>
  <c r="E59" i="3" s="1"/>
  <c r="E68" i="3" s="1"/>
  <c r="B64" i="3"/>
  <c r="B68" i="3" s="1"/>
  <c r="B5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<sst xmlns="http://schemas.openxmlformats.org/spreadsheetml/2006/main" count="249" uniqueCount="135">
  <si>
    <t>Assets</t>
  </si>
  <si>
    <t>Liabilities and equity</t>
  </si>
  <si>
    <t xml:space="preserve">    Inventories</t>
  </si>
  <si>
    <t>Goodwill</t>
  </si>
  <si>
    <t>Total assets</t>
  </si>
  <si>
    <t xml:space="preserve">    Accounts payable</t>
  </si>
  <si>
    <t>Equity</t>
  </si>
  <si>
    <t>Total liabilities and equity</t>
  </si>
  <si>
    <t>Excess financial assets</t>
  </si>
  <si>
    <t>Total excess financial assets</t>
  </si>
  <si>
    <t>Net fixed assets</t>
  </si>
  <si>
    <t>Working capital</t>
  </si>
  <si>
    <t>Excess assets</t>
  </si>
  <si>
    <t>Total operating liabilities</t>
  </si>
  <si>
    <t>Financial liabilities</t>
  </si>
  <si>
    <t>Total financial liabilities</t>
  </si>
  <si>
    <t>Net working capital</t>
  </si>
  <si>
    <t>Net financial debt</t>
  </si>
  <si>
    <t>Intangible assets</t>
  </si>
  <si>
    <t>CATERPILLAR INC., BALANCE SHEET</t>
  </si>
  <si>
    <t>31 December 2019 (Dollars in Millions)</t>
  </si>
  <si>
    <t>Current assets</t>
  </si>
  <si>
    <t xml:space="preserve">    Cash and short-term investments</t>
  </si>
  <si>
    <t xml:space="preserve">    Receivables - trade and other</t>
  </si>
  <si>
    <t xml:space="preserve">    Receivables - finance</t>
  </si>
  <si>
    <t xml:space="preserve">    Prepaid expense and other assets</t>
  </si>
  <si>
    <t>Total current assets</t>
  </si>
  <si>
    <t>Property, plant and equipment, net</t>
  </si>
  <si>
    <t>Long-term receivables - trade and other</t>
  </si>
  <si>
    <t>Long-term receivables - finance</t>
  </si>
  <si>
    <t>Non-current deferred and refundable income taxes</t>
  </si>
  <si>
    <t>Other assets</t>
  </si>
  <si>
    <t>Current liabilities</t>
  </si>
  <si>
    <t xml:space="preserve">    Accrued expenses</t>
  </si>
  <si>
    <t xml:space="preserve">    Accrued wages, salaries and employee benefits</t>
  </si>
  <si>
    <t xml:space="preserve">    Customer advances</t>
  </si>
  <si>
    <t xml:space="preserve">    Dividends payable</t>
  </si>
  <si>
    <t xml:space="preserve">    Other current liabilities</t>
  </si>
  <si>
    <t xml:space="preserve">    Machinery, energy &amp; transportation</t>
  </si>
  <si>
    <t xml:space="preserve">    Financial products</t>
  </si>
  <si>
    <t>Total current liabilities</t>
  </si>
  <si>
    <t>Long-term debt due after one year:</t>
  </si>
  <si>
    <t>Assets:</t>
  </si>
  <si>
    <t>Liabilities:</t>
  </si>
  <si>
    <t>Machinery, energy &amp; transportation</t>
  </si>
  <si>
    <t>Financial products</t>
  </si>
  <si>
    <t>Liability for post-employment benefits</t>
  </si>
  <si>
    <t>Other liabilities</t>
  </si>
  <si>
    <t>Total liabilities</t>
  </si>
  <si>
    <t>Total stockholder's equity</t>
  </si>
  <si>
    <t>Total liabilities and stockholders' equity</t>
  </si>
  <si>
    <t>Operational liabilities</t>
  </si>
  <si>
    <t>Total positive working capital</t>
  </si>
  <si>
    <t>Minus operating liabilities (negative working capital)</t>
  </si>
  <si>
    <t>Total intangible assets</t>
  </si>
  <si>
    <t>Minus excess financial assets</t>
  </si>
  <si>
    <t>Total operating assets (Accounting EV)</t>
  </si>
  <si>
    <t>CATERPILLAR VALUATION OF EQUITY: EFFICIENT MARKETS APPROACH</t>
  </si>
  <si>
    <t>Shares outstanding (Dec 2019, M)</t>
  </si>
  <si>
    <t>Share price (Dec 2019, $)</t>
  </si>
  <si>
    <t>Market capitalization ($M) - equity value</t>
  </si>
  <si>
    <t>EV efficient markets approach</t>
  </si>
  <si>
    <t>Total</t>
  </si>
  <si>
    <t>Using the Efficient Markets Approach to Value Non-Listed Companies</t>
  </si>
  <si>
    <t>DEERE &amp; COMPANY KEY FINANCIALS, 2019</t>
  </si>
  <si>
    <t>(MILLIONS OF DOLLARS)</t>
  </si>
  <si>
    <t>Liabilities</t>
  </si>
  <si>
    <t>Cash and cash equivalents</t>
  </si>
  <si>
    <t>Marketable securities</t>
  </si>
  <si>
    <t>Receivables from unconsolidated affiliates</t>
  </si>
  <si>
    <t>Trade accounts and notes receivable - net</t>
  </si>
  <si>
    <t>Financing receivables - net</t>
  </si>
  <si>
    <t>Financing receivables securitized - net</t>
  </si>
  <si>
    <t>Other receivables</t>
  </si>
  <si>
    <t>Inventories</t>
  </si>
  <si>
    <t>Property and equipment - net</t>
  </si>
  <si>
    <t>Investments in unconsolidated affiliates</t>
  </si>
  <si>
    <t>Other intangible assets - net</t>
  </si>
  <si>
    <t>Retirement benefits</t>
  </si>
  <si>
    <t>Equipment on operating leases - net</t>
  </si>
  <si>
    <t>Deferred income taxes</t>
  </si>
  <si>
    <t>Short-term borrowings</t>
  </si>
  <si>
    <t>Short-term securitization borrowings</t>
  </si>
  <si>
    <t>Payables to unconsolidated affiliates</t>
  </si>
  <si>
    <t>Accounts payable and accrued expenses</t>
  </si>
  <si>
    <t>Long-term borrowings</t>
  </si>
  <si>
    <t>Retirement benefits and other liabilities</t>
  </si>
  <si>
    <t>Redeemable noncontrolling interest</t>
  </si>
  <si>
    <t>Total stockholders' equity</t>
  </si>
  <si>
    <t>Net sales and revenues</t>
  </si>
  <si>
    <t>Gross profit</t>
  </si>
  <si>
    <t>Earnings before interest, taxes, depreciation and amortization (EBITDA)</t>
  </si>
  <si>
    <t>Earnings before interest and taxes (EBIT)</t>
  </si>
  <si>
    <t>Net income</t>
  </si>
  <si>
    <t>Using the insights from DE to assess CAT's enterprise value</t>
  </si>
  <si>
    <t>Calculating the multiples from DE</t>
  </si>
  <si>
    <t>Net sales and revenues multiple</t>
  </si>
  <si>
    <t>Gross profit multiple</t>
  </si>
  <si>
    <t>Earnings before interest, taxes, depreciation and amortization (EBITDA) multiple</t>
  </si>
  <si>
    <t>Earnings before interest and taxes (EBIT) multiple</t>
  </si>
  <si>
    <t>Net income multiple</t>
  </si>
  <si>
    <t>Enterprise value estimation of CAT</t>
  </si>
  <si>
    <t>DE</t>
  </si>
  <si>
    <t>CAT</t>
  </si>
  <si>
    <t>KEY INCOME STATEMENT NUBMERS</t>
  </si>
  <si>
    <t xml:space="preserve"> &lt;-- (source: 2019 financial reports)</t>
  </si>
  <si>
    <t>Based on net sales and revenues multiple</t>
  </si>
  <si>
    <t>Based on gross profit multiple</t>
  </si>
  <si>
    <t>Based on EBITDA multiple</t>
  </si>
  <si>
    <t>Based on EBIT multiple</t>
  </si>
  <si>
    <t>Based on net income multiple</t>
  </si>
  <si>
    <t>Average</t>
  </si>
  <si>
    <t>Plus: excess assets</t>
  </si>
  <si>
    <t>Less: net financial debt</t>
  </si>
  <si>
    <t>Equity value</t>
  </si>
  <si>
    <t>Liabilities and Equity</t>
  </si>
  <si>
    <t>Operating liabilities</t>
  </si>
  <si>
    <t>Total operating liabilites</t>
  </si>
  <si>
    <t>Total net fixed assets</t>
  </si>
  <si>
    <t>Enterprise value (accounting values)</t>
  </si>
  <si>
    <t>Accounting enterprise value</t>
  </si>
  <si>
    <t>Minus Total excess financial assets</t>
  </si>
  <si>
    <t>Shares outstanding (Oct 2019, M)</t>
  </si>
  <si>
    <t>Share price (Oct 2019, $)</t>
  </si>
  <si>
    <t>Market capitalization ($M)</t>
  </si>
  <si>
    <t>Enterprise value efficient markets approach</t>
  </si>
  <si>
    <t>ENTERPRISE VALUE - EFFICIENT MARKETS APPROACH</t>
  </si>
  <si>
    <t>CATERPILLAR INC., REORGANIZED BALANCE SHEET</t>
  </si>
  <si>
    <t>CATERPILLAR INC., OPERATIONAL BALANCE SHEET</t>
  </si>
  <si>
    <t>At the end of 2019, Caterpillar Inc., had 552.66 million shares outstanding, and the market price per share was $147.68.</t>
  </si>
  <si>
    <t>DE &amp; CO., OPERATIONAL BALANCE SHEET</t>
  </si>
  <si>
    <t>DE &amp; CO., REORGANISED BALANCE SHEET</t>
  </si>
  <si>
    <t>RetirEment benefits</t>
  </si>
  <si>
    <t>&lt;-- CAT Inc. excess assets</t>
  </si>
  <si>
    <t>&lt;-- CAT Inc. net financial debt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</si>
</sst>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(&quot;$&quot;* #,##0.00_);_(&quot;$&quot;* \(#,##0.00\);_(&quot;$&quot;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name val="Arial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8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>
      <alignment vertical="top"/>
    </xf>
    <xf numFmtId="9" fontId="2" fillId="0" borderId="0" applyFont="0" applyFill="0" applyBorder="0" applyAlignment="0" applyProtection="0"/>
  </cellStyleXfs>
  <cellXfs count="32">
    <xf numFmtId="0" fontId="0" fillId="0" borderId="0" xfId="0"/>
    <xf numFmtId="0" fontId="3" fillId="0" borderId="0" xfId="0" applyFont="1" applyAlignment="1">
      <alignment horizontal="center"/>
    </xf>
    <xf numFmtId="0" fontId="5" fillId="0" borderId="0" xfId="0" applyFont="1"/>
    <xf numFmtId="0" fontId="4" fillId="0" borderId="0" xfId="0" applyFont="1"/>
    <xf numFmtId="3" fontId="5" fillId="0" borderId="0" xfId="0" applyNumberFormat="1" applyFont="1"/>
    <xf numFmtId="3" fontId="4" fillId="0" borderId="0" xfId="0" applyNumberFormat="1" applyFont="1"/>
    <xf numFmtId="0" fontId="6" fillId="0" borderId="0" xfId="0" applyFont="1"/>
    <xf numFmtId="0" fontId="7" fillId="0" borderId="0" xfId="0" applyFont="1"/>
    <xf numFmtId="0" fontId="4" fillId="0" borderId="0" xfId="0" applyFont="1" applyAlignment="1">
      <alignment wrapText="1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wrapText="1"/>
    </xf>
    <xf numFmtId="3" fontId="6" fillId="0" borderId="0" xfId="0" applyNumberFormat="1" applyFont="1"/>
    <xf numFmtId="0" fontId="5" fillId="0" borderId="0" xfId="0" applyFont="1" applyAlignment="1">
      <alignment wrapText="1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5" fillId="0" borderId="0" xfId="0" applyFont="1" applyAlignment="1">
      <alignment horizontal="left" vertical="top" wrapText="1"/>
    </xf>
    <xf numFmtId="1" fontId="5" fillId="0" borderId="0" xfId="0" applyNumberFormat="1" applyFont="1"/>
    <xf numFmtId="2" fontId="5" fillId="0" borderId="0" xfId="0" applyNumberFormat="1" applyFont="1"/>
    <xf numFmtId="1" fontId="4" fillId="0" borderId="0" xfId="0" applyNumberFormat="1" applyFont="1"/>
    <xf numFmtId="0" fontId="8" fillId="0" borderId="0" xfId="0" applyFont="1"/>
    <xf numFmtId="0" fontId="3" fillId="0" borderId="0" xfId="0" applyFont="1" applyAlignment="1">
      <alignment horizontal="center" vertical="center" wrapText="1"/>
    </xf>
    <xf numFmtId="0" fontId="7" fillId="0" borderId="0" xfId="0" applyFont="1" applyAlignment="1">
      <alignment wrapText="1"/>
    </xf>
    <xf numFmtId="0" fontId="5" fillId="0" borderId="0" xfId="1" applyFont="1" applyAlignment="1">
      <alignment wrapText="1"/>
    </xf>
    <xf numFmtId="0" fontId="5" fillId="0" borderId="0" xfId="1" applyFont="1"/>
    <xf numFmtId="0" fontId="3" fillId="0" borderId="0" xfId="1" applyFont="1" applyAlignment="1">
      <alignment horizontal="center" vertical="center" wrapText="1"/>
    </xf>
    <xf numFmtId="0" fontId="4" fillId="0" borderId="0" xfId="1" applyFont="1" applyAlignment="1">
      <alignment horizontal="center"/>
    </xf>
    <xf numFmtId="3" fontId="4" fillId="0" borderId="0" xfId="1" applyNumberFormat="1" applyFont="1" applyAlignment="1">
      <alignment horizontal="center"/>
    </xf>
    <xf numFmtId="3" fontId="5" fillId="0" borderId="0" xfId="1" applyNumberFormat="1" applyFont="1" applyAlignment="1">
      <alignment horizontal="center"/>
    </xf>
    <xf numFmtId="3" fontId="5" fillId="0" borderId="0" xfId="1" applyNumberFormat="1" applyFont="1" applyAlignment="1">
      <alignment horizontal="center" wrapText="1"/>
    </xf>
    <xf numFmtId="0" fontId="3" fillId="0" borderId="0" xfId="0" applyFont="1" applyAlignment="1">
      <alignment wrapText="1"/>
    </xf>
    <xf numFmtId="0" fontId="9" fillId="0" borderId="0" xfId="0" applyFont="1" applyAlignment="1">
      <alignment horizontal="center" vertical="center" wrapText="1"/>
    </xf>
  </cellXfs>
  <cellStyles count="8">
    <cellStyle name="Comma 2" xfId="4" xr:uid="{2E6B8744-69E1-486A-8A6D-DD1DD78DF727}"/>
    <cellStyle name="Currency 2" xfId="5" xr:uid="{C1C64BBA-8FB5-4EE5-9703-40879C8D5A3C}"/>
    <cellStyle name="Normal" xfId="0" builtinId="0"/>
    <cellStyle name="Normal 2" xfId="3" xr:uid="{BDC15399-D008-4F8B-BBD3-B7FB77173706}"/>
    <cellStyle name="Normal 3" xfId="6" xr:uid="{FB69D004-F4C5-429C-AA93-59DA19DE17E2}"/>
    <cellStyle name="Normal 4" xfId="1" xr:uid="{AA2BBCD9-6F32-42A5-91E5-EC0A10390FDD}"/>
    <cellStyle name="Percent 2" xfId="7" xr:uid="{B416EB3C-AB80-4C37-BBA4-14652453A0DE}"/>
    <cellStyle name="Percent 3" xfId="2" xr:uid="{1CC35C0C-0061-455D-A195-F50B70E79CC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1104900</xdr:colOff>
      <xdr:row>5</xdr:row>
      <xdr:rowOff>133350</xdr:rowOff>
    </xdr:from>
    <xdr:to>
      <xdr:col>1</xdr:col>
      <xdr:colOff>142875</xdr:colOff>
      <xdr:row>7</xdr:row>
      <xdr:rowOff>28575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6542B4BC-4FDD-6B62-3C52-7E4F4953EE60}"/>
            </a:ext>
          </a:extLst>
        </xdr:cNvPr>
        <xdr:cNvCxnSpPr/>
      </xdr:nvCxnSpPr>
      <xdr:spPr>
        <a:xfrm>
          <a:off x="1104900" y="2276475"/>
          <a:ext cx="971550" cy="2762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D8693-03B9-4332-9B5A-0A5C59C0E275}">
  <dimension ref="A1:E25"/>
  <sheetViews>
    <sheetView workbookViewId="0">
      <selection activeCell="A26" sqref="A26:E71"/>
    </sheetView>
  </sheetViews>
  <sheetFormatPr defaultRowHeight="15" x14ac:dyDescent="0.25"/>
  <cols>
    <col min="1" max="1" width="48" customWidth="1"/>
    <col min="3" max="3" width="3.42578125" customWidth="1"/>
    <col min="4" max="4" width="48.140625" customWidth="1"/>
  </cols>
  <sheetData>
    <row r="1" spans="1:5" ht="27" customHeight="1" x14ac:dyDescent="0.25">
      <c r="A1" s="9" t="s">
        <v>19</v>
      </c>
      <c r="B1" s="9"/>
      <c r="C1" s="9"/>
      <c r="D1" s="9"/>
      <c r="E1" s="9"/>
    </row>
    <row r="2" spans="1:5" ht="18.75" x14ac:dyDescent="0.3">
      <c r="A2" s="10" t="s">
        <v>20</v>
      </c>
      <c r="B2" s="10"/>
      <c r="C2" s="10"/>
      <c r="D2" s="10"/>
      <c r="E2" s="10"/>
    </row>
    <row r="3" spans="1:5" ht="15.75" x14ac:dyDescent="0.25">
      <c r="A3" s="3" t="s">
        <v>42</v>
      </c>
      <c r="B3" s="2"/>
      <c r="C3" s="2"/>
      <c r="D3" s="3" t="s">
        <v>43</v>
      </c>
      <c r="E3" s="2"/>
    </row>
    <row r="4" spans="1:5" ht="15.75" x14ac:dyDescent="0.25">
      <c r="A4" s="3" t="s">
        <v>21</v>
      </c>
      <c r="B4" s="2"/>
      <c r="C4" s="2"/>
      <c r="D4" s="3" t="s">
        <v>32</v>
      </c>
      <c r="E4" s="2"/>
    </row>
    <row r="5" spans="1:5" ht="15.75" x14ac:dyDescent="0.25">
      <c r="A5" s="2" t="s">
        <v>22</v>
      </c>
      <c r="B5" s="4">
        <v>8284</v>
      </c>
      <c r="C5" s="2"/>
      <c r="D5" s="2" t="s">
        <v>5</v>
      </c>
      <c r="E5" s="4">
        <v>5957</v>
      </c>
    </row>
    <row r="6" spans="1:5" ht="15.75" x14ac:dyDescent="0.25">
      <c r="A6" s="2" t="s">
        <v>23</v>
      </c>
      <c r="B6" s="4">
        <v>8568</v>
      </c>
      <c r="C6" s="2"/>
      <c r="D6" s="2" t="s">
        <v>33</v>
      </c>
      <c r="E6" s="4">
        <v>3750</v>
      </c>
    </row>
    <row r="7" spans="1:5" ht="15.75" x14ac:dyDescent="0.25">
      <c r="A7" s="2" t="s">
        <v>24</v>
      </c>
      <c r="B7" s="4">
        <v>9336</v>
      </c>
      <c r="C7" s="2"/>
      <c r="D7" s="2" t="s">
        <v>34</v>
      </c>
      <c r="E7" s="4">
        <v>1629</v>
      </c>
    </row>
    <row r="8" spans="1:5" ht="15.75" x14ac:dyDescent="0.25">
      <c r="A8" s="2" t="s">
        <v>25</v>
      </c>
      <c r="B8" s="4">
        <v>1739</v>
      </c>
      <c r="C8" s="2"/>
      <c r="D8" s="2" t="s">
        <v>35</v>
      </c>
      <c r="E8" s="4">
        <v>1187</v>
      </c>
    </row>
    <row r="9" spans="1:5" ht="15.75" x14ac:dyDescent="0.25">
      <c r="A9" s="2" t="s">
        <v>2</v>
      </c>
      <c r="B9" s="4">
        <v>11266</v>
      </c>
      <c r="C9" s="2"/>
      <c r="D9" s="2" t="s">
        <v>36</v>
      </c>
      <c r="E9" s="4">
        <v>567</v>
      </c>
    </row>
    <row r="10" spans="1:5" ht="15.75" x14ac:dyDescent="0.25">
      <c r="A10" s="3" t="s">
        <v>26</v>
      </c>
      <c r="B10" s="5">
        <f>SUM(B5:B9)</f>
        <v>39193</v>
      </c>
      <c r="C10" s="2"/>
      <c r="D10" s="2" t="s">
        <v>37</v>
      </c>
      <c r="E10" s="4">
        <v>2155</v>
      </c>
    </row>
    <row r="11" spans="1:5" ht="15.75" x14ac:dyDescent="0.25">
      <c r="A11" s="2"/>
      <c r="B11" s="2"/>
      <c r="C11" s="2"/>
      <c r="D11" s="2" t="s">
        <v>38</v>
      </c>
      <c r="E11" s="4">
        <v>21</v>
      </c>
    </row>
    <row r="12" spans="1:5" ht="15.75" x14ac:dyDescent="0.25">
      <c r="A12" s="2" t="s">
        <v>27</v>
      </c>
      <c r="B12" s="4">
        <v>12904</v>
      </c>
      <c r="C12" s="2"/>
      <c r="D12" s="2" t="s">
        <v>39</v>
      </c>
      <c r="E12" s="4">
        <v>11355</v>
      </c>
    </row>
    <row r="13" spans="1:5" ht="15.75" x14ac:dyDescent="0.25">
      <c r="A13" s="2" t="s">
        <v>28</v>
      </c>
      <c r="B13" s="4">
        <v>1193</v>
      </c>
      <c r="C13" s="2"/>
      <c r="D13" s="3" t="s">
        <v>40</v>
      </c>
      <c r="E13" s="5">
        <f>SUM(E5:E12)</f>
        <v>26621</v>
      </c>
    </row>
    <row r="14" spans="1:5" ht="15.75" x14ac:dyDescent="0.25">
      <c r="A14" s="2" t="s">
        <v>29</v>
      </c>
      <c r="B14" s="4">
        <v>12651</v>
      </c>
      <c r="C14" s="2"/>
      <c r="D14" s="2"/>
      <c r="E14" s="2"/>
    </row>
    <row r="15" spans="1:5" ht="15.75" x14ac:dyDescent="0.25">
      <c r="A15" s="2" t="s">
        <v>30</v>
      </c>
      <c r="B15" s="4">
        <v>1411</v>
      </c>
      <c r="C15" s="2"/>
      <c r="D15" s="3" t="s">
        <v>41</v>
      </c>
      <c r="E15" s="2"/>
    </row>
    <row r="16" spans="1:5" ht="15.75" x14ac:dyDescent="0.25">
      <c r="A16" s="2" t="s">
        <v>18</v>
      </c>
      <c r="B16" s="4">
        <v>1565</v>
      </c>
      <c r="C16" s="2"/>
      <c r="D16" s="2" t="s">
        <v>44</v>
      </c>
      <c r="E16" s="4">
        <v>9141</v>
      </c>
    </row>
    <row r="17" spans="1:5" ht="15.75" x14ac:dyDescent="0.25">
      <c r="A17" s="2" t="s">
        <v>3</v>
      </c>
      <c r="B17" s="4">
        <v>6196</v>
      </c>
      <c r="C17" s="2"/>
      <c r="D17" s="2" t="s">
        <v>45</v>
      </c>
      <c r="E17" s="4">
        <v>17140</v>
      </c>
    </row>
    <row r="18" spans="1:5" ht="15.75" x14ac:dyDescent="0.25">
      <c r="A18" s="2" t="s">
        <v>31</v>
      </c>
      <c r="B18" s="4">
        <v>3340</v>
      </c>
      <c r="C18" s="2"/>
      <c r="D18" s="2" t="s">
        <v>46</v>
      </c>
      <c r="E18" s="4">
        <v>6599</v>
      </c>
    </row>
    <row r="19" spans="1:5" ht="15.75" x14ac:dyDescent="0.25">
      <c r="A19" s="2"/>
      <c r="B19" s="2"/>
      <c r="C19" s="2"/>
      <c r="D19" s="2" t="s">
        <v>47</v>
      </c>
      <c r="E19" s="4">
        <v>4323</v>
      </c>
    </row>
    <row r="20" spans="1:5" ht="15.75" x14ac:dyDescent="0.25">
      <c r="A20" s="2"/>
      <c r="B20" s="2"/>
      <c r="C20" s="2"/>
      <c r="D20" s="3" t="s">
        <v>48</v>
      </c>
      <c r="E20" s="5">
        <f>SUM(E13,E16:E19)</f>
        <v>63824</v>
      </c>
    </row>
    <row r="21" spans="1:5" ht="15.75" x14ac:dyDescent="0.25">
      <c r="A21" s="2"/>
      <c r="B21" s="2"/>
      <c r="C21" s="2"/>
      <c r="D21" s="2"/>
      <c r="E21" s="2"/>
    </row>
    <row r="22" spans="1:5" ht="15.75" x14ac:dyDescent="0.25">
      <c r="A22" s="2"/>
      <c r="B22" s="2"/>
      <c r="C22" s="2"/>
      <c r="D22" s="3" t="s">
        <v>49</v>
      </c>
      <c r="E22" s="5">
        <v>14629</v>
      </c>
    </row>
    <row r="23" spans="1:5" ht="15.75" x14ac:dyDescent="0.25">
      <c r="A23" s="2"/>
      <c r="B23" s="2"/>
      <c r="C23" s="2"/>
      <c r="D23" s="2"/>
      <c r="E23" s="2"/>
    </row>
    <row r="24" spans="1:5" ht="15.75" x14ac:dyDescent="0.25">
      <c r="A24" s="3" t="s">
        <v>4</v>
      </c>
      <c r="B24" s="5">
        <f>SUM(B10:B18)</f>
        <v>78453</v>
      </c>
      <c r="C24" s="2"/>
      <c r="D24" s="3" t="s">
        <v>50</v>
      </c>
      <c r="E24" s="5">
        <f>SUM(E20,E22)</f>
        <v>78453</v>
      </c>
    </row>
    <row r="25" spans="1:5" ht="15.75" x14ac:dyDescent="0.25">
      <c r="A25" s="2"/>
      <c r="B25" s="2"/>
      <c r="C25" s="2"/>
      <c r="D25" s="2"/>
      <c r="E25" s="2"/>
    </row>
  </sheetData>
  <mergeCells count="2">
    <mergeCell ref="A1:E1"/>
    <mergeCell ref="A2:E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EA0FD-AE7E-4404-92D7-6B3D472462B8}">
  <dimension ref="A1:E68"/>
  <sheetViews>
    <sheetView topLeftCell="A49" workbookViewId="0">
      <selection activeCell="A72" sqref="A72"/>
    </sheetView>
  </sheetViews>
  <sheetFormatPr defaultRowHeight="15" x14ac:dyDescent="0.25"/>
  <cols>
    <col min="1" max="1" width="48" customWidth="1"/>
    <col min="3" max="3" width="3.42578125" customWidth="1"/>
    <col min="4" max="4" width="48.140625" customWidth="1"/>
  </cols>
  <sheetData>
    <row r="1" spans="1:5" ht="27" customHeight="1" x14ac:dyDescent="0.25">
      <c r="A1" s="9" t="s">
        <v>19</v>
      </c>
      <c r="B1" s="9"/>
      <c r="C1" s="9"/>
      <c r="D1" s="9"/>
      <c r="E1" s="9"/>
    </row>
    <row r="2" spans="1:5" ht="18.75" x14ac:dyDescent="0.3">
      <c r="A2" s="10" t="s">
        <v>20</v>
      </c>
      <c r="B2" s="10"/>
      <c r="C2" s="10"/>
      <c r="D2" s="10"/>
      <c r="E2" s="10"/>
    </row>
    <row r="3" spans="1:5" ht="15.75" x14ac:dyDescent="0.25">
      <c r="A3" s="3" t="s">
        <v>42</v>
      </c>
      <c r="B3" s="2"/>
      <c r="C3" s="2"/>
      <c r="D3" s="3" t="s">
        <v>43</v>
      </c>
      <c r="E3" s="2"/>
    </row>
    <row r="4" spans="1:5" ht="15.75" x14ac:dyDescent="0.25">
      <c r="A4" s="3" t="s">
        <v>21</v>
      </c>
      <c r="B4" s="2"/>
      <c r="C4" s="2"/>
      <c r="D4" s="3" t="s">
        <v>32</v>
      </c>
      <c r="E4" s="2"/>
    </row>
    <row r="5" spans="1:5" ht="15.75" x14ac:dyDescent="0.25">
      <c r="A5" s="2" t="s">
        <v>22</v>
      </c>
      <c r="B5" s="4">
        <v>8284</v>
      </c>
      <c r="C5" s="2"/>
      <c r="D5" s="2" t="s">
        <v>5</v>
      </c>
      <c r="E5" s="4">
        <v>5957</v>
      </c>
    </row>
    <row r="6" spans="1:5" ht="15.75" x14ac:dyDescent="0.25">
      <c r="A6" s="2" t="s">
        <v>23</v>
      </c>
      <c r="B6" s="4">
        <v>8568</v>
      </c>
      <c r="C6" s="2"/>
      <c r="D6" s="2" t="s">
        <v>33</v>
      </c>
      <c r="E6" s="4">
        <v>3750</v>
      </c>
    </row>
    <row r="7" spans="1:5" ht="15.75" x14ac:dyDescent="0.25">
      <c r="A7" s="2" t="s">
        <v>24</v>
      </c>
      <c r="B7" s="4">
        <v>9336</v>
      </c>
      <c r="C7" s="2"/>
      <c r="D7" s="2" t="s">
        <v>34</v>
      </c>
      <c r="E7" s="4">
        <v>1629</v>
      </c>
    </row>
    <row r="8" spans="1:5" ht="15.75" x14ac:dyDescent="0.25">
      <c r="A8" s="2" t="s">
        <v>25</v>
      </c>
      <c r="B8" s="4">
        <v>1739</v>
      </c>
      <c r="C8" s="2"/>
      <c r="D8" s="2" t="s">
        <v>35</v>
      </c>
      <c r="E8" s="4">
        <v>1187</v>
      </c>
    </row>
    <row r="9" spans="1:5" ht="15.75" x14ac:dyDescent="0.25">
      <c r="A9" s="2" t="s">
        <v>2</v>
      </c>
      <c r="B9" s="4">
        <v>11266</v>
      </c>
      <c r="C9" s="2"/>
      <c r="D9" s="2" t="s">
        <v>36</v>
      </c>
      <c r="E9" s="4">
        <v>567</v>
      </c>
    </row>
    <row r="10" spans="1:5" ht="15.75" x14ac:dyDescent="0.25">
      <c r="A10" s="3" t="s">
        <v>26</v>
      </c>
      <c r="B10" s="5">
        <f>SUM(B5:B9)</f>
        <v>39193</v>
      </c>
      <c r="C10" s="2"/>
      <c r="D10" s="2" t="s">
        <v>37</v>
      </c>
      <c r="E10" s="4">
        <v>2155</v>
      </c>
    </row>
    <row r="11" spans="1:5" ht="15.75" x14ac:dyDescent="0.25">
      <c r="A11" s="2"/>
      <c r="B11" s="2"/>
      <c r="C11" s="2"/>
      <c r="D11" s="2" t="s">
        <v>38</v>
      </c>
      <c r="E11" s="4">
        <v>21</v>
      </c>
    </row>
    <row r="12" spans="1:5" ht="15.75" x14ac:dyDescent="0.25">
      <c r="A12" s="2" t="s">
        <v>27</v>
      </c>
      <c r="B12" s="4">
        <v>12904</v>
      </c>
      <c r="C12" s="2"/>
      <c r="D12" s="2" t="s">
        <v>39</v>
      </c>
      <c r="E12" s="4">
        <v>11355</v>
      </c>
    </row>
    <row r="13" spans="1:5" ht="15.75" x14ac:dyDescent="0.25">
      <c r="A13" s="2" t="s">
        <v>28</v>
      </c>
      <c r="B13" s="4">
        <v>1193</v>
      </c>
      <c r="C13" s="2"/>
      <c r="D13" s="3" t="s">
        <v>40</v>
      </c>
      <c r="E13" s="5">
        <f>SUM(E5:E12)</f>
        <v>26621</v>
      </c>
    </row>
    <row r="14" spans="1:5" ht="15.75" x14ac:dyDescent="0.25">
      <c r="A14" s="2" t="s">
        <v>29</v>
      </c>
      <c r="B14" s="4">
        <v>12651</v>
      </c>
      <c r="C14" s="2"/>
      <c r="D14" s="2"/>
      <c r="E14" s="2"/>
    </row>
    <row r="15" spans="1:5" ht="15.75" x14ac:dyDescent="0.25">
      <c r="A15" s="2" t="s">
        <v>30</v>
      </c>
      <c r="B15" s="4">
        <v>1411</v>
      </c>
      <c r="C15" s="2"/>
      <c r="D15" s="3" t="s">
        <v>41</v>
      </c>
      <c r="E15" s="2"/>
    </row>
    <row r="16" spans="1:5" ht="15.75" x14ac:dyDescent="0.25">
      <c r="A16" s="2" t="s">
        <v>18</v>
      </c>
      <c r="B16" s="4">
        <v>1565</v>
      </c>
      <c r="C16" s="2"/>
      <c r="D16" s="2" t="s">
        <v>44</v>
      </c>
      <c r="E16" s="4">
        <v>9141</v>
      </c>
    </row>
    <row r="17" spans="1:5" ht="15.75" x14ac:dyDescent="0.25">
      <c r="A17" s="2" t="s">
        <v>3</v>
      </c>
      <c r="B17" s="4">
        <v>6196</v>
      </c>
      <c r="C17" s="2"/>
      <c r="D17" s="2" t="s">
        <v>45</v>
      </c>
      <c r="E17" s="4">
        <v>17140</v>
      </c>
    </row>
    <row r="18" spans="1:5" ht="15.75" x14ac:dyDescent="0.25">
      <c r="A18" s="2" t="s">
        <v>31</v>
      </c>
      <c r="B18" s="4">
        <v>3340</v>
      </c>
      <c r="C18" s="2"/>
      <c r="D18" s="2" t="s">
        <v>46</v>
      </c>
      <c r="E18" s="4">
        <v>6599</v>
      </c>
    </row>
    <row r="19" spans="1:5" ht="15.75" x14ac:dyDescent="0.25">
      <c r="A19" s="2"/>
      <c r="B19" s="2"/>
      <c r="C19" s="2"/>
      <c r="D19" s="2" t="s">
        <v>47</v>
      </c>
      <c r="E19" s="4">
        <v>4323</v>
      </c>
    </row>
    <row r="20" spans="1:5" ht="15.75" x14ac:dyDescent="0.25">
      <c r="A20" s="2"/>
      <c r="B20" s="2"/>
      <c r="C20" s="2"/>
      <c r="D20" s="3" t="s">
        <v>48</v>
      </c>
      <c r="E20" s="5">
        <f>SUM(E13,E16:E19)</f>
        <v>63824</v>
      </c>
    </row>
    <row r="21" spans="1:5" ht="15.75" x14ac:dyDescent="0.25">
      <c r="A21" s="2"/>
      <c r="B21" s="2"/>
      <c r="C21" s="2"/>
      <c r="D21" s="2"/>
      <c r="E21" s="2"/>
    </row>
    <row r="22" spans="1:5" ht="15.75" x14ac:dyDescent="0.25">
      <c r="A22" s="2"/>
      <c r="B22" s="2"/>
      <c r="C22" s="2"/>
      <c r="D22" s="3" t="s">
        <v>49</v>
      </c>
      <c r="E22" s="5">
        <v>14629</v>
      </c>
    </row>
    <row r="23" spans="1:5" ht="15.75" x14ac:dyDescent="0.25">
      <c r="A23" s="2"/>
      <c r="B23" s="2"/>
      <c r="C23" s="2"/>
      <c r="D23" s="2"/>
      <c r="E23" s="2"/>
    </row>
    <row r="24" spans="1:5" ht="15.75" x14ac:dyDescent="0.25">
      <c r="A24" s="3" t="s">
        <v>4</v>
      </c>
      <c r="B24" s="5">
        <f>SUM(B10:B18)</f>
        <v>78453</v>
      </c>
      <c r="C24" s="2"/>
      <c r="D24" s="3" t="s">
        <v>50</v>
      </c>
      <c r="E24" s="5">
        <f>SUM(E20,E22)</f>
        <v>78453</v>
      </c>
    </row>
    <row r="25" spans="1:5" ht="15.75" x14ac:dyDescent="0.25">
      <c r="A25" s="2"/>
      <c r="B25" s="2"/>
      <c r="C25" s="2"/>
      <c r="D25" s="2"/>
      <c r="E25" s="2"/>
    </row>
    <row r="26" spans="1:5" ht="15.75" x14ac:dyDescent="0.25">
      <c r="A26" s="2"/>
      <c r="B26" s="2"/>
      <c r="C26" s="2"/>
      <c r="D26" s="2"/>
      <c r="E26" s="2"/>
    </row>
    <row r="27" spans="1:5" ht="18.75" x14ac:dyDescent="0.25">
      <c r="A27" s="9" t="s">
        <v>127</v>
      </c>
      <c r="B27" s="9"/>
      <c r="C27" s="9"/>
      <c r="D27" s="9"/>
      <c r="E27" s="9"/>
    </row>
    <row r="28" spans="1:5" ht="15.75" x14ac:dyDescent="0.25">
      <c r="A28" s="3" t="s">
        <v>0</v>
      </c>
      <c r="B28" s="2"/>
      <c r="C28" s="2"/>
      <c r="D28" s="3" t="s">
        <v>1</v>
      </c>
      <c r="E28" s="2"/>
    </row>
    <row r="29" spans="1:5" ht="15.75" x14ac:dyDescent="0.25">
      <c r="A29" s="7" t="s">
        <v>8</v>
      </c>
      <c r="B29" s="2"/>
      <c r="C29" s="2"/>
      <c r="D29" s="7" t="s">
        <v>51</v>
      </c>
      <c r="E29" s="2"/>
    </row>
    <row r="30" spans="1:5" ht="15.75" x14ac:dyDescent="0.25">
      <c r="A30" s="4" t="str">
        <f>A5</f>
        <v xml:space="preserve">    Cash and short-term investments</v>
      </c>
      <c r="B30" s="4">
        <f>B5</f>
        <v>8284</v>
      </c>
      <c r="C30" s="2"/>
      <c r="D30" s="2" t="s">
        <v>5</v>
      </c>
      <c r="E30" s="4">
        <v>5957</v>
      </c>
    </row>
    <row r="31" spans="1:5" ht="15.75" x14ac:dyDescent="0.25">
      <c r="A31" s="4"/>
      <c r="B31" s="4"/>
      <c r="C31" s="2"/>
      <c r="D31" s="2" t="s">
        <v>33</v>
      </c>
      <c r="E31" s="4">
        <v>3750</v>
      </c>
    </row>
    <row r="32" spans="1:5" ht="15.75" x14ac:dyDescent="0.25">
      <c r="A32" s="7" t="s">
        <v>11</v>
      </c>
      <c r="B32" s="2"/>
      <c r="C32" s="2"/>
      <c r="D32" s="2" t="s">
        <v>34</v>
      </c>
      <c r="E32" s="4">
        <v>1629</v>
      </c>
    </row>
    <row r="33" spans="1:5" ht="15.75" x14ac:dyDescent="0.25">
      <c r="A33" s="2" t="str">
        <f>A6</f>
        <v xml:space="preserve">    Receivables - trade and other</v>
      </c>
      <c r="B33" s="4">
        <f>B6</f>
        <v>8568</v>
      </c>
      <c r="C33" s="2"/>
      <c r="D33" s="2" t="s">
        <v>35</v>
      </c>
      <c r="E33" s="4">
        <v>1187</v>
      </c>
    </row>
    <row r="34" spans="1:5" ht="15.75" x14ac:dyDescent="0.25">
      <c r="A34" s="2" t="str">
        <f t="shared" ref="A34:B36" si="0">A7</f>
        <v xml:space="preserve">    Receivables - finance</v>
      </c>
      <c r="B34" s="4">
        <f t="shared" si="0"/>
        <v>9336</v>
      </c>
      <c r="C34" s="2"/>
      <c r="D34" s="2" t="str">
        <f>D11</f>
        <v xml:space="preserve">    Machinery, energy &amp; transportation</v>
      </c>
      <c r="E34" s="4">
        <f>E11</f>
        <v>21</v>
      </c>
    </row>
    <row r="35" spans="1:5" ht="15.75" x14ac:dyDescent="0.25">
      <c r="A35" s="2" t="str">
        <f t="shared" si="0"/>
        <v xml:space="preserve">    Prepaid expense and other assets</v>
      </c>
      <c r="B35" s="4">
        <f t="shared" si="0"/>
        <v>1739</v>
      </c>
      <c r="C35" s="2"/>
      <c r="D35" s="3" t="s">
        <v>13</v>
      </c>
      <c r="E35" s="5">
        <f>SUM(E30:E34)</f>
        <v>12544</v>
      </c>
    </row>
    <row r="36" spans="1:5" ht="15.75" x14ac:dyDescent="0.25">
      <c r="A36" s="2" t="str">
        <f t="shared" si="0"/>
        <v xml:space="preserve">    Inventories</v>
      </c>
      <c r="B36" s="4">
        <f t="shared" si="0"/>
        <v>11266</v>
      </c>
      <c r="C36" s="2"/>
      <c r="D36" s="2"/>
      <c r="E36" s="2"/>
    </row>
    <row r="37" spans="1:5" ht="15.75" x14ac:dyDescent="0.25">
      <c r="A37" s="2" t="str">
        <f xml:space="preserve"> A13</f>
        <v>Long-term receivables - trade and other</v>
      </c>
      <c r="B37" s="4">
        <f>B13</f>
        <v>1193</v>
      </c>
      <c r="C37" s="2"/>
      <c r="D37" s="7" t="s">
        <v>14</v>
      </c>
      <c r="E37" s="2"/>
    </row>
    <row r="38" spans="1:5" ht="15.75" x14ac:dyDescent="0.25">
      <c r="A38" s="2" t="str">
        <f>A14</f>
        <v>Long-term receivables - finance</v>
      </c>
      <c r="B38" s="4">
        <f>B14</f>
        <v>12651</v>
      </c>
      <c r="C38" s="2"/>
      <c r="D38" s="2" t="str">
        <f>D9</f>
        <v xml:space="preserve">    Dividends payable</v>
      </c>
      <c r="E38" s="4">
        <f>E9</f>
        <v>567</v>
      </c>
    </row>
    <row r="39" spans="1:5" ht="15.75" x14ac:dyDescent="0.25">
      <c r="A39" s="2" t="str">
        <f>A15</f>
        <v>Non-current deferred and refundable income taxes</v>
      </c>
      <c r="B39" s="4">
        <f>B15</f>
        <v>1411</v>
      </c>
      <c r="C39" s="2"/>
      <c r="D39" s="2" t="str">
        <f>D10</f>
        <v xml:space="preserve">    Other current liabilities</v>
      </c>
      <c r="E39" s="4">
        <f>E10</f>
        <v>2155</v>
      </c>
    </row>
    <row r="40" spans="1:5" ht="15.75" x14ac:dyDescent="0.25">
      <c r="A40" s="3" t="s">
        <v>52</v>
      </c>
      <c r="B40" s="5">
        <f>SUM(B33:B39)</f>
        <v>46164</v>
      </c>
      <c r="C40" s="2"/>
      <c r="D40" s="2" t="str">
        <f>D12</f>
        <v xml:space="preserve">    Financial products</v>
      </c>
      <c r="E40" s="4">
        <f>E12</f>
        <v>11355</v>
      </c>
    </row>
    <row r="41" spans="1:5" ht="15.75" x14ac:dyDescent="0.25">
      <c r="A41" s="2"/>
      <c r="B41" s="2"/>
      <c r="C41" s="2"/>
      <c r="D41" s="2" t="s">
        <v>44</v>
      </c>
      <c r="E41" s="4">
        <v>9141</v>
      </c>
    </row>
    <row r="42" spans="1:5" ht="15.75" x14ac:dyDescent="0.25">
      <c r="A42" s="7" t="s">
        <v>10</v>
      </c>
      <c r="B42" s="2"/>
      <c r="C42" s="2"/>
      <c r="D42" s="2" t="s">
        <v>45</v>
      </c>
      <c r="E42" s="4">
        <v>17140</v>
      </c>
    </row>
    <row r="43" spans="1:5" ht="15.75" x14ac:dyDescent="0.25">
      <c r="A43" s="2" t="str">
        <f>A12</f>
        <v>Property, plant and equipment, net</v>
      </c>
      <c r="B43" s="4">
        <f>B12</f>
        <v>12904</v>
      </c>
      <c r="C43" s="2"/>
      <c r="D43" s="2" t="s">
        <v>46</v>
      </c>
      <c r="E43" s="4">
        <v>6599</v>
      </c>
    </row>
    <row r="44" spans="1:5" ht="15.75" x14ac:dyDescent="0.25">
      <c r="A44" s="2"/>
      <c r="B44" s="2"/>
      <c r="C44" s="2"/>
      <c r="D44" s="2" t="s">
        <v>47</v>
      </c>
      <c r="E44" s="4">
        <v>4323</v>
      </c>
    </row>
    <row r="45" spans="1:5" ht="15.75" x14ac:dyDescent="0.25">
      <c r="A45" s="7" t="s">
        <v>18</v>
      </c>
      <c r="B45" s="2"/>
      <c r="C45" s="2"/>
      <c r="D45" s="3" t="s">
        <v>15</v>
      </c>
      <c r="E45" s="5">
        <f>SUM(E38:E44)</f>
        <v>51280</v>
      </c>
    </row>
    <row r="46" spans="1:5" ht="15.75" x14ac:dyDescent="0.25">
      <c r="A46" s="2" t="str">
        <f>A16</f>
        <v>Intangible assets</v>
      </c>
      <c r="B46" s="4">
        <f>B16</f>
        <v>1565</v>
      </c>
      <c r="C46" s="2"/>
      <c r="D46" s="2"/>
      <c r="E46" s="2"/>
    </row>
    <row r="47" spans="1:5" ht="15.75" x14ac:dyDescent="0.25">
      <c r="A47" s="2" t="str">
        <f>A17</f>
        <v>Goodwill</v>
      </c>
      <c r="B47" s="4">
        <f>B17</f>
        <v>6196</v>
      </c>
      <c r="C47" s="2"/>
      <c r="D47" s="3" t="str">
        <f>D22</f>
        <v>Total stockholder's equity</v>
      </c>
      <c r="E47" s="5">
        <f>E22</f>
        <v>14629</v>
      </c>
    </row>
    <row r="48" spans="1:5" ht="15.75" x14ac:dyDescent="0.25">
      <c r="A48" s="2"/>
      <c r="B48" s="2"/>
      <c r="C48" s="2"/>
      <c r="D48" s="2"/>
      <c r="E48" s="2"/>
    </row>
    <row r="49" spans="1:5" ht="15.75" x14ac:dyDescent="0.25">
      <c r="A49" s="7" t="s">
        <v>12</v>
      </c>
      <c r="B49" s="2"/>
      <c r="C49" s="2"/>
      <c r="D49" s="2"/>
      <c r="E49" s="2"/>
    </row>
    <row r="50" spans="1:5" ht="15.75" x14ac:dyDescent="0.25">
      <c r="A50" s="2" t="str">
        <f>A18</f>
        <v>Other assets</v>
      </c>
      <c r="B50" s="4">
        <f>B18</f>
        <v>3340</v>
      </c>
      <c r="C50" s="2"/>
      <c r="D50" s="2"/>
      <c r="E50" s="2"/>
    </row>
    <row r="51" spans="1:5" ht="15.75" x14ac:dyDescent="0.25">
      <c r="A51" s="2"/>
      <c r="B51" s="2"/>
      <c r="C51" s="2"/>
      <c r="D51" s="2"/>
      <c r="E51" s="2"/>
    </row>
    <row r="52" spans="1:5" ht="15.75" x14ac:dyDescent="0.25">
      <c r="A52" s="3" t="s">
        <v>4</v>
      </c>
      <c r="B52" s="5">
        <f>SUM(B30,B40,B43:B50)</f>
        <v>78453</v>
      </c>
      <c r="C52" s="2"/>
      <c r="D52" s="3" t="s">
        <v>7</v>
      </c>
      <c r="E52" s="5">
        <f>SUM(E35,E45,E47)</f>
        <v>78453</v>
      </c>
    </row>
    <row r="53" spans="1:5" ht="15.75" x14ac:dyDescent="0.25">
      <c r="A53" s="2"/>
      <c r="B53" s="2"/>
      <c r="C53" s="2"/>
      <c r="D53" s="2"/>
      <c r="E53" s="2"/>
    </row>
    <row r="54" spans="1:5" ht="15.75" x14ac:dyDescent="0.25">
      <c r="A54" s="2"/>
      <c r="B54" s="2"/>
      <c r="C54" s="2"/>
      <c r="D54" s="2"/>
      <c r="E54" s="2"/>
    </row>
    <row r="55" spans="1:5" ht="18.75" x14ac:dyDescent="0.25">
      <c r="A55" s="9" t="s">
        <v>128</v>
      </c>
      <c r="B55" s="9"/>
      <c r="C55" s="9"/>
      <c r="D55" s="9"/>
      <c r="E55" s="9"/>
    </row>
    <row r="56" spans="1:5" ht="15.75" x14ac:dyDescent="0.25">
      <c r="A56" s="6" t="s">
        <v>10</v>
      </c>
      <c r="B56" s="11">
        <f>B43</f>
        <v>12904</v>
      </c>
      <c r="C56" s="2"/>
      <c r="D56" s="7" t="s">
        <v>17</v>
      </c>
      <c r="E56" s="2"/>
    </row>
    <row r="57" spans="1:5" ht="15.75" x14ac:dyDescent="0.25">
      <c r="A57" s="2"/>
      <c r="B57" s="2"/>
      <c r="C57" s="2"/>
      <c r="D57" s="2" t="s">
        <v>14</v>
      </c>
      <c r="E57" s="4">
        <f>E45</f>
        <v>51280</v>
      </c>
    </row>
    <row r="58" spans="1:5" ht="15.75" x14ac:dyDescent="0.25">
      <c r="A58" s="7" t="s">
        <v>16</v>
      </c>
      <c r="B58" s="2"/>
      <c r="C58" s="2"/>
      <c r="D58" s="2" t="s">
        <v>55</v>
      </c>
      <c r="E58" s="4">
        <f>-B30</f>
        <v>-8284</v>
      </c>
    </row>
    <row r="59" spans="1:5" ht="15.75" x14ac:dyDescent="0.25">
      <c r="A59" s="2" t="str">
        <f>A40</f>
        <v>Total positive working capital</v>
      </c>
      <c r="B59" s="4">
        <f>B40</f>
        <v>46164</v>
      </c>
      <c r="C59" s="2"/>
      <c r="D59" s="6" t="s">
        <v>17</v>
      </c>
      <c r="E59" s="4">
        <f>SUM(E57:E58)</f>
        <v>42996</v>
      </c>
    </row>
    <row r="60" spans="1:5" ht="31.5" x14ac:dyDescent="0.25">
      <c r="A60" s="12" t="s">
        <v>53</v>
      </c>
      <c r="B60" s="4">
        <f>-E35</f>
        <v>-12544</v>
      </c>
      <c r="C60" s="2"/>
      <c r="D60" s="2"/>
      <c r="E60" s="2"/>
    </row>
    <row r="61" spans="1:5" ht="15.75" x14ac:dyDescent="0.25">
      <c r="A61" s="6" t="s">
        <v>16</v>
      </c>
      <c r="B61" s="11">
        <f>SUM(B59,B60)</f>
        <v>33620</v>
      </c>
      <c r="C61" s="2"/>
      <c r="D61" s="6" t="str">
        <f>D47</f>
        <v>Total stockholder's equity</v>
      </c>
      <c r="E61" s="11">
        <f>E47</f>
        <v>14629</v>
      </c>
    </row>
    <row r="62" spans="1:5" ht="15.75" x14ac:dyDescent="0.25">
      <c r="A62" s="2"/>
      <c r="B62" s="2"/>
      <c r="C62" s="2"/>
      <c r="D62" s="2"/>
      <c r="E62" s="2"/>
    </row>
    <row r="63" spans="1:5" ht="15.75" x14ac:dyDescent="0.25">
      <c r="A63" s="6" t="s">
        <v>54</v>
      </c>
      <c r="B63" s="11">
        <f>SUM(B46,B47)</f>
        <v>7761</v>
      </c>
      <c r="C63" s="2"/>
      <c r="D63" s="2"/>
      <c r="E63" s="2"/>
    </row>
    <row r="64" spans="1:5" ht="15.75" x14ac:dyDescent="0.25">
      <c r="A64" s="3" t="s">
        <v>56</v>
      </c>
      <c r="B64" s="5">
        <f>SUM(B56,B61,B63)</f>
        <v>54285</v>
      </c>
      <c r="C64" s="2"/>
      <c r="D64" s="2"/>
      <c r="E64" s="2"/>
    </row>
    <row r="65" spans="1:5" ht="15.75" x14ac:dyDescent="0.25">
      <c r="A65" s="2"/>
      <c r="B65" s="2"/>
      <c r="C65" s="2"/>
      <c r="D65" s="2"/>
      <c r="E65" s="2"/>
    </row>
    <row r="66" spans="1:5" ht="15.75" x14ac:dyDescent="0.25">
      <c r="A66" s="2" t="s">
        <v>12</v>
      </c>
      <c r="B66" s="4">
        <f>B50</f>
        <v>3340</v>
      </c>
      <c r="C66" s="2"/>
      <c r="D66" s="2"/>
      <c r="E66" s="2"/>
    </row>
    <row r="67" spans="1:5" ht="15.75" x14ac:dyDescent="0.25">
      <c r="A67" s="2"/>
      <c r="B67" s="2"/>
      <c r="C67" s="2"/>
      <c r="D67" s="2"/>
      <c r="E67" s="2"/>
    </row>
    <row r="68" spans="1:5" ht="15.75" x14ac:dyDescent="0.25">
      <c r="A68" s="3" t="s">
        <v>4</v>
      </c>
      <c r="B68" s="5">
        <f>SUM(B64:B66)</f>
        <v>57625</v>
      </c>
      <c r="C68" s="2"/>
      <c r="D68" s="3" t="s">
        <v>7</v>
      </c>
      <c r="E68" s="5">
        <f>SUM(E59:E61)</f>
        <v>57625</v>
      </c>
    </row>
  </sheetData>
  <mergeCells count="4">
    <mergeCell ref="A27:E27"/>
    <mergeCell ref="A1:E1"/>
    <mergeCell ref="A2:E2"/>
    <mergeCell ref="A55:E5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65762-70A1-4CE0-B3B3-8CE957D69016}">
  <dimension ref="A1:J11"/>
  <sheetViews>
    <sheetView workbookViewId="0">
      <selection activeCell="I9" sqref="I9"/>
    </sheetView>
  </sheetViews>
  <sheetFormatPr defaultRowHeight="15.75" x14ac:dyDescent="0.25"/>
  <cols>
    <col min="1" max="1" width="39.28515625" style="2" customWidth="1"/>
    <col min="2" max="2" width="9.140625" style="2"/>
    <col min="3" max="3" width="3.140625" style="2" customWidth="1"/>
    <col min="4" max="4" width="39.140625" style="2" customWidth="1"/>
    <col min="5" max="16384" width="9.140625" style="2"/>
  </cols>
  <sheetData>
    <row r="1" spans="1:10" ht="32.25" customHeight="1" x14ac:dyDescent="0.25">
      <c r="A1" s="14" t="s">
        <v>129</v>
      </c>
      <c r="B1" s="14"/>
      <c r="C1" s="14"/>
      <c r="D1" s="14"/>
      <c r="E1" s="14"/>
      <c r="F1" s="15"/>
      <c r="G1" s="15"/>
      <c r="H1" s="15"/>
      <c r="I1" s="15"/>
      <c r="J1" s="15"/>
    </row>
    <row r="3" spans="1:10" ht="18.75" x14ac:dyDescent="0.25">
      <c r="A3" s="9" t="s">
        <v>57</v>
      </c>
      <c r="B3" s="9"/>
      <c r="C3" s="9"/>
      <c r="D3" s="9"/>
      <c r="E3" s="9"/>
    </row>
    <row r="4" spans="1:10" x14ac:dyDescent="0.25">
      <c r="D4" s="2" t="s">
        <v>58</v>
      </c>
      <c r="E4" s="2">
        <v>552.66</v>
      </c>
    </row>
    <row r="5" spans="1:10" x14ac:dyDescent="0.25">
      <c r="D5" s="2" t="s">
        <v>59</v>
      </c>
      <c r="E5" s="2">
        <v>147.68</v>
      </c>
    </row>
    <row r="6" spans="1:10" x14ac:dyDescent="0.25">
      <c r="A6" s="2" t="str" cm="1">
        <f t="array" aca="1" ref="A6" ca="1">getformula(B8)</f>
        <v>&lt;-- =E9+E8-B9</v>
      </c>
      <c r="D6" s="2" t="s">
        <v>60</v>
      </c>
      <c r="E6" s="4">
        <f>E9</f>
        <v>81616.828800000003</v>
      </c>
    </row>
    <row r="8" spans="1:10" x14ac:dyDescent="0.25">
      <c r="A8" s="20" t="s">
        <v>61</v>
      </c>
      <c r="B8" s="4">
        <f>E9+E8-B9</f>
        <v>121272.8288</v>
      </c>
      <c r="D8" s="2" t="s">
        <v>17</v>
      </c>
      <c r="E8" s="4">
        <v>42996</v>
      </c>
    </row>
    <row r="9" spans="1:10" x14ac:dyDescent="0.25">
      <c r="A9" s="2" t="s">
        <v>31</v>
      </c>
      <c r="B9" s="4">
        <v>3340</v>
      </c>
      <c r="D9" s="2" t="s">
        <v>6</v>
      </c>
      <c r="E9" s="4">
        <f>E4*E5</f>
        <v>81616.828800000003</v>
      </c>
      <c r="F9" s="2" t="str" cm="1">
        <f t="array" aca="1" ref="F9" ca="1">getformula(E9)</f>
        <v>&lt;-- =E4*E5</v>
      </c>
    </row>
    <row r="11" spans="1:10" x14ac:dyDescent="0.25">
      <c r="A11" s="3" t="s">
        <v>62</v>
      </c>
      <c r="B11" s="5">
        <f>SUM(B8,B9)</f>
        <v>124612.8288</v>
      </c>
      <c r="D11" s="3" t="s">
        <v>62</v>
      </c>
      <c r="E11" s="5">
        <f>SUM(E8,E9)</f>
        <v>124612.8288</v>
      </c>
    </row>
  </sheetData>
  <mergeCells count="2">
    <mergeCell ref="A1:E1"/>
    <mergeCell ref="A3:E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27C8-6DCA-4233-8688-4B3F7E178E36}">
  <dimension ref="A1:F108"/>
  <sheetViews>
    <sheetView tabSelected="1" topLeftCell="A91" workbookViewId="0">
      <selection activeCell="A108" sqref="A108"/>
    </sheetView>
  </sheetViews>
  <sheetFormatPr defaultRowHeight="15.75" x14ac:dyDescent="0.25"/>
  <cols>
    <col min="1" max="1" width="44.85546875" style="12" customWidth="1"/>
    <col min="2" max="2" width="11.7109375" style="2" customWidth="1"/>
    <col min="3" max="3" width="3.85546875" style="2" customWidth="1"/>
    <col min="4" max="4" width="40.85546875" style="2" customWidth="1"/>
    <col min="5" max="5" width="11.5703125" style="2" customWidth="1"/>
    <col min="6" max="16384" width="9.140625" style="2"/>
  </cols>
  <sheetData>
    <row r="1" spans="1:5" ht="18.75" x14ac:dyDescent="0.25">
      <c r="A1" s="9" t="s">
        <v>63</v>
      </c>
      <c r="B1" s="9"/>
      <c r="C1" s="9"/>
      <c r="D1" s="9"/>
      <c r="E1" s="9"/>
    </row>
    <row r="2" spans="1:5" ht="18.75" x14ac:dyDescent="0.25">
      <c r="A2" s="21"/>
      <c r="B2" s="13"/>
      <c r="C2" s="13"/>
      <c r="D2" s="13"/>
      <c r="E2" s="13"/>
    </row>
    <row r="3" spans="1:5" ht="15" customHeight="1" x14ac:dyDescent="0.3">
      <c r="A3" s="1" t="s">
        <v>64</v>
      </c>
      <c r="B3" s="1"/>
      <c r="C3" s="1"/>
      <c r="D3" s="1"/>
      <c r="E3" s="1"/>
    </row>
    <row r="4" spans="1:5" ht="18.75" x14ac:dyDescent="0.3">
      <c r="A4" s="1" t="s">
        <v>65</v>
      </c>
      <c r="B4" s="1"/>
      <c r="C4" s="1"/>
      <c r="D4" s="1"/>
      <c r="E4" s="1"/>
    </row>
    <row r="5" spans="1:5" x14ac:dyDescent="0.25">
      <c r="A5" s="8" t="s">
        <v>0</v>
      </c>
      <c r="D5" s="3" t="s">
        <v>66</v>
      </c>
    </row>
    <row r="6" spans="1:5" x14ac:dyDescent="0.25">
      <c r="A6" s="12" t="s">
        <v>67</v>
      </c>
      <c r="B6" s="4">
        <v>3857</v>
      </c>
      <c r="D6" s="2" t="s">
        <v>81</v>
      </c>
      <c r="E6" s="4">
        <v>10784</v>
      </c>
    </row>
    <row r="7" spans="1:5" x14ac:dyDescent="0.25">
      <c r="A7" s="12" t="s">
        <v>68</v>
      </c>
      <c r="B7" s="2">
        <v>581</v>
      </c>
      <c r="D7" s="2" t="s">
        <v>82</v>
      </c>
      <c r="E7" s="4">
        <v>4321</v>
      </c>
    </row>
    <row r="8" spans="1:5" x14ac:dyDescent="0.25">
      <c r="A8" s="12" t="s">
        <v>69</v>
      </c>
      <c r="B8" s="2">
        <v>46</v>
      </c>
      <c r="D8" s="2" t="s">
        <v>83</v>
      </c>
      <c r="E8" s="2">
        <v>142</v>
      </c>
    </row>
    <row r="9" spans="1:5" x14ac:dyDescent="0.25">
      <c r="A9" s="12" t="s">
        <v>70</v>
      </c>
      <c r="B9" s="4">
        <v>5230</v>
      </c>
      <c r="D9" s="2" t="s">
        <v>84</v>
      </c>
      <c r="E9" s="4">
        <v>9656</v>
      </c>
    </row>
    <row r="10" spans="1:5" x14ac:dyDescent="0.25">
      <c r="A10" s="12" t="s">
        <v>71</v>
      </c>
      <c r="B10" s="4">
        <v>29195</v>
      </c>
      <c r="D10" s="2" t="s">
        <v>80</v>
      </c>
      <c r="E10" s="4">
        <v>495</v>
      </c>
    </row>
    <row r="11" spans="1:5" x14ac:dyDescent="0.25">
      <c r="A11" s="12" t="s">
        <v>72</v>
      </c>
      <c r="B11" s="4">
        <v>4383</v>
      </c>
      <c r="D11" s="2" t="s">
        <v>85</v>
      </c>
      <c r="E11" s="4">
        <v>30229</v>
      </c>
    </row>
    <row r="12" spans="1:5" x14ac:dyDescent="0.25">
      <c r="A12" s="12" t="s">
        <v>73</v>
      </c>
      <c r="B12" s="4">
        <v>1487</v>
      </c>
      <c r="D12" s="2" t="s">
        <v>86</v>
      </c>
      <c r="E12" s="4">
        <v>5953</v>
      </c>
    </row>
    <row r="13" spans="1:5" x14ac:dyDescent="0.25">
      <c r="A13" s="12" t="s">
        <v>79</v>
      </c>
      <c r="B13" s="4">
        <v>7567</v>
      </c>
      <c r="D13" s="3" t="s">
        <v>48</v>
      </c>
      <c r="E13" s="5">
        <f>SUM(E6:E12)</f>
        <v>61580</v>
      </c>
    </row>
    <row r="14" spans="1:5" x14ac:dyDescent="0.25">
      <c r="A14" s="12" t="s">
        <v>74</v>
      </c>
      <c r="B14" s="4">
        <v>5975</v>
      </c>
      <c r="D14" s="2" t="s">
        <v>87</v>
      </c>
      <c r="E14" s="4">
        <v>14</v>
      </c>
    </row>
    <row r="15" spans="1:5" x14ac:dyDescent="0.25">
      <c r="A15" s="12" t="s">
        <v>75</v>
      </c>
      <c r="B15" s="4">
        <v>5973</v>
      </c>
    </row>
    <row r="16" spans="1:5" x14ac:dyDescent="0.25">
      <c r="A16" s="12" t="s">
        <v>76</v>
      </c>
      <c r="B16" s="4">
        <v>215</v>
      </c>
      <c r="D16" s="3" t="s">
        <v>88</v>
      </c>
      <c r="E16" s="5">
        <v>11417</v>
      </c>
    </row>
    <row r="17" spans="1:5" x14ac:dyDescent="0.25">
      <c r="A17" s="12" t="s">
        <v>3</v>
      </c>
      <c r="B17" s="4">
        <v>2917</v>
      </c>
    </row>
    <row r="18" spans="1:5" x14ac:dyDescent="0.25">
      <c r="A18" s="12" t="s">
        <v>77</v>
      </c>
      <c r="B18" s="4">
        <v>1380</v>
      </c>
    </row>
    <row r="19" spans="1:5" x14ac:dyDescent="0.25">
      <c r="A19" s="12" t="s">
        <v>78</v>
      </c>
      <c r="B19" s="4">
        <v>840</v>
      </c>
    </row>
    <row r="20" spans="1:5" x14ac:dyDescent="0.25">
      <c r="A20" s="12" t="s">
        <v>80</v>
      </c>
      <c r="B20" s="4">
        <v>1466</v>
      </c>
    </row>
    <row r="21" spans="1:5" x14ac:dyDescent="0.25">
      <c r="A21" s="12" t="s">
        <v>31</v>
      </c>
      <c r="B21" s="4">
        <v>1899</v>
      </c>
    </row>
    <row r="22" spans="1:5" x14ac:dyDescent="0.25">
      <c r="A22" s="8" t="s">
        <v>4</v>
      </c>
      <c r="B22" s="5">
        <f>SUM(B6:B21)</f>
        <v>73011</v>
      </c>
      <c r="D22" s="3" t="s">
        <v>50</v>
      </c>
      <c r="E22" s="5">
        <f>E13+E16</f>
        <v>72997</v>
      </c>
    </row>
    <row r="25" spans="1:5" ht="18.75" x14ac:dyDescent="0.3">
      <c r="A25" s="1" t="s">
        <v>131</v>
      </c>
      <c r="B25" s="1"/>
      <c r="C25" s="1"/>
      <c r="D25" s="1"/>
      <c r="E25" s="1"/>
    </row>
    <row r="26" spans="1:5" x14ac:dyDescent="0.25">
      <c r="A26" s="8" t="s">
        <v>0</v>
      </c>
      <c r="D26" s="3" t="s">
        <v>115</v>
      </c>
    </row>
    <row r="27" spans="1:5" x14ac:dyDescent="0.25">
      <c r="A27" s="22" t="s">
        <v>8</v>
      </c>
      <c r="D27" s="7" t="s">
        <v>116</v>
      </c>
    </row>
    <row r="28" spans="1:5" x14ac:dyDescent="0.25">
      <c r="A28" s="12" t="s">
        <v>67</v>
      </c>
      <c r="B28" s="4">
        <v>3857</v>
      </c>
      <c r="D28" s="2" t="s">
        <v>83</v>
      </c>
      <c r="E28" s="2">
        <v>142</v>
      </c>
    </row>
    <row r="29" spans="1:5" x14ac:dyDescent="0.25">
      <c r="A29" s="12" t="s">
        <v>68</v>
      </c>
      <c r="B29" s="2">
        <v>581</v>
      </c>
      <c r="D29" s="2" t="s">
        <v>84</v>
      </c>
      <c r="E29" s="4">
        <v>9656</v>
      </c>
    </row>
    <row r="30" spans="1:5" x14ac:dyDescent="0.25">
      <c r="A30" s="8" t="s">
        <v>9</v>
      </c>
      <c r="B30" s="5">
        <f>SUM(B28:B29)</f>
        <v>4438</v>
      </c>
      <c r="D30" s="2" t="s">
        <v>80</v>
      </c>
      <c r="E30" s="2">
        <v>495</v>
      </c>
    </row>
    <row r="31" spans="1:5" x14ac:dyDescent="0.25">
      <c r="D31" s="2" t="s">
        <v>82</v>
      </c>
      <c r="E31" s="4">
        <v>4321</v>
      </c>
    </row>
    <row r="32" spans="1:5" x14ac:dyDescent="0.25">
      <c r="A32" s="22" t="s">
        <v>10</v>
      </c>
      <c r="D32" s="3" t="s">
        <v>117</v>
      </c>
      <c r="E32" s="3">
        <f>SUM(E28:E31)</f>
        <v>14614</v>
      </c>
    </row>
    <row r="33" spans="1:5" x14ac:dyDescent="0.25">
      <c r="A33" s="12" t="s">
        <v>75</v>
      </c>
      <c r="B33" s="4">
        <v>5973</v>
      </c>
    </row>
    <row r="34" spans="1:5" x14ac:dyDescent="0.25">
      <c r="A34" s="12" t="s">
        <v>79</v>
      </c>
      <c r="B34" s="4">
        <v>7567</v>
      </c>
      <c r="D34" s="7" t="s">
        <v>14</v>
      </c>
    </row>
    <row r="35" spans="1:5" x14ac:dyDescent="0.25">
      <c r="A35" s="12" t="s">
        <v>76</v>
      </c>
      <c r="B35" s="4">
        <v>215</v>
      </c>
      <c r="D35" s="2" t="s">
        <v>81</v>
      </c>
      <c r="E35" s="4">
        <v>10784</v>
      </c>
    </row>
    <row r="36" spans="1:5" x14ac:dyDescent="0.25">
      <c r="A36" s="8" t="s">
        <v>118</v>
      </c>
      <c r="B36" s="5">
        <f>SUM(B33:B35)</f>
        <v>13755</v>
      </c>
      <c r="D36" s="2" t="s">
        <v>87</v>
      </c>
      <c r="E36" s="2">
        <v>14</v>
      </c>
    </row>
    <row r="37" spans="1:5" x14ac:dyDescent="0.25">
      <c r="D37" s="2" t="s">
        <v>85</v>
      </c>
      <c r="E37" s="4">
        <v>30229</v>
      </c>
    </row>
    <row r="38" spans="1:5" x14ac:dyDescent="0.25">
      <c r="A38" s="22" t="s">
        <v>11</v>
      </c>
      <c r="D38" s="2" t="s">
        <v>86</v>
      </c>
      <c r="E38" s="4">
        <v>5953</v>
      </c>
    </row>
    <row r="39" spans="1:5" x14ac:dyDescent="0.25">
      <c r="A39" s="12" t="s">
        <v>69</v>
      </c>
      <c r="B39" s="2">
        <v>46</v>
      </c>
    </row>
    <row r="40" spans="1:5" x14ac:dyDescent="0.25">
      <c r="A40" s="12" t="s">
        <v>70</v>
      </c>
      <c r="B40" s="4">
        <v>5230</v>
      </c>
      <c r="D40" s="6" t="s">
        <v>88</v>
      </c>
      <c r="E40" s="11">
        <v>11417</v>
      </c>
    </row>
    <row r="41" spans="1:5" x14ac:dyDescent="0.25">
      <c r="A41" s="12" t="s">
        <v>71</v>
      </c>
      <c r="B41" s="4">
        <v>29195</v>
      </c>
    </row>
    <row r="42" spans="1:5" x14ac:dyDescent="0.25">
      <c r="A42" s="12" t="s">
        <v>72</v>
      </c>
      <c r="B42" s="4">
        <v>4383</v>
      </c>
    </row>
    <row r="43" spans="1:5" x14ac:dyDescent="0.25">
      <c r="A43" s="12" t="s">
        <v>73</v>
      </c>
      <c r="B43" s="4">
        <v>1487</v>
      </c>
    </row>
    <row r="44" spans="1:5" x14ac:dyDescent="0.25">
      <c r="A44" s="12" t="s">
        <v>74</v>
      </c>
      <c r="B44" s="4">
        <v>5975</v>
      </c>
    </row>
    <row r="45" spans="1:5" x14ac:dyDescent="0.25">
      <c r="A45" s="12" t="s">
        <v>80</v>
      </c>
      <c r="B45" s="4">
        <v>1466</v>
      </c>
    </row>
    <row r="46" spans="1:5" x14ac:dyDescent="0.25">
      <c r="A46" s="12" t="s">
        <v>132</v>
      </c>
      <c r="B46" s="4">
        <v>840</v>
      </c>
    </row>
    <row r="48" spans="1:5" x14ac:dyDescent="0.25">
      <c r="A48" s="22" t="s">
        <v>18</v>
      </c>
    </row>
    <row r="49" spans="1:5" x14ac:dyDescent="0.25">
      <c r="A49" s="12" t="s">
        <v>3</v>
      </c>
      <c r="B49" s="4">
        <v>2917</v>
      </c>
    </row>
    <row r="50" spans="1:5" x14ac:dyDescent="0.25">
      <c r="A50" s="12" t="s">
        <v>77</v>
      </c>
      <c r="B50" s="4">
        <v>1380</v>
      </c>
    </row>
    <row r="52" spans="1:5" x14ac:dyDescent="0.25">
      <c r="A52" s="22" t="s">
        <v>31</v>
      </c>
      <c r="B52" s="4">
        <v>1899</v>
      </c>
    </row>
    <row r="54" spans="1:5" x14ac:dyDescent="0.25">
      <c r="A54" s="8" t="s">
        <v>4</v>
      </c>
      <c r="B54" s="5">
        <f>SUM(B30,B36,B39:B52)</f>
        <v>73011</v>
      </c>
      <c r="D54" s="3" t="s">
        <v>7</v>
      </c>
      <c r="E54" s="5">
        <f>SUM(E32,E35:E40)</f>
        <v>73011</v>
      </c>
    </row>
    <row r="55" spans="1:5" x14ac:dyDescent="0.25">
      <c r="A55" s="8"/>
      <c r="B55" s="5"/>
      <c r="D55" s="3"/>
      <c r="E55" s="5"/>
    </row>
    <row r="57" spans="1:5" ht="18.75" x14ac:dyDescent="0.25">
      <c r="A57" s="9" t="s">
        <v>130</v>
      </c>
      <c r="B57" s="9"/>
      <c r="C57" s="9"/>
      <c r="D57" s="9"/>
      <c r="E57" s="9"/>
    </row>
    <row r="58" spans="1:5" x14ac:dyDescent="0.25">
      <c r="A58" s="8" t="s">
        <v>119</v>
      </c>
      <c r="D58" s="3" t="s">
        <v>17</v>
      </c>
    </row>
    <row r="59" spans="1:5" x14ac:dyDescent="0.25">
      <c r="A59" s="12" t="s">
        <v>10</v>
      </c>
      <c r="B59" s="4">
        <f>B36</f>
        <v>13755</v>
      </c>
      <c r="D59" s="2" t="s">
        <v>81</v>
      </c>
      <c r="E59" s="4">
        <v>10784</v>
      </c>
    </row>
    <row r="60" spans="1:5" x14ac:dyDescent="0.25">
      <c r="A60" s="12" t="s">
        <v>16</v>
      </c>
      <c r="B60" s="2">
        <f>SUM(B39:B46)-E32</f>
        <v>34008</v>
      </c>
      <c r="D60" s="2" t="s">
        <v>87</v>
      </c>
      <c r="E60" s="2">
        <v>14</v>
      </c>
    </row>
    <row r="61" spans="1:5" x14ac:dyDescent="0.25">
      <c r="A61" s="12" t="s">
        <v>18</v>
      </c>
      <c r="B61" s="4">
        <f>SUM(B49,B50)</f>
        <v>4297</v>
      </c>
      <c r="D61" s="2" t="s">
        <v>85</v>
      </c>
      <c r="E61" s="4">
        <v>30229</v>
      </c>
    </row>
    <row r="62" spans="1:5" x14ac:dyDescent="0.25">
      <c r="A62" s="8" t="s">
        <v>120</v>
      </c>
      <c r="B62" s="5">
        <f>SUM(B59:B61)</f>
        <v>52060</v>
      </c>
      <c r="D62" s="2" t="s">
        <v>86</v>
      </c>
      <c r="E62" s="4">
        <v>5953</v>
      </c>
    </row>
    <row r="63" spans="1:5" x14ac:dyDescent="0.25">
      <c r="D63" s="2" t="s">
        <v>121</v>
      </c>
      <c r="E63" s="4">
        <f>-B30</f>
        <v>-4438</v>
      </c>
    </row>
    <row r="64" spans="1:5" x14ac:dyDescent="0.25">
      <c r="A64" s="12" t="s">
        <v>31</v>
      </c>
      <c r="B64" s="4">
        <f>B52</f>
        <v>1899</v>
      </c>
      <c r="D64" s="3" t="s">
        <v>17</v>
      </c>
      <c r="E64" s="5">
        <f>SUM(E59:E63)</f>
        <v>42542</v>
      </c>
    </row>
    <row r="66" spans="1:5" x14ac:dyDescent="0.25">
      <c r="D66" s="3" t="s">
        <v>6</v>
      </c>
      <c r="E66" s="5">
        <f>E40</f>
        <v>11417</v>
      </c>
    </row>
    <row r="68" spans="1:5" x14ac:dyDescent="0.25">
      <c r="A68" s="8" t="s">
        <v>4</v>
      </c>
      <c r="B68" s="5">
        <f>SUM(B62,B64)</f>
        <v>53959</v>
      </c>
      <c r="D68" s="3" t="s">
        <v>62</v>
      </c>
      <c r="E68" s="5">
        <f>SUM(E64,E66)</f>
        <v>53959</v>
      </c>
    </row>
    <row r="71" spans="1:5" ht="18.75" x14ac:dyDescent="0.3">
      <c r="A71" s="1" t="s">
        <v>126</v>
      </c>
      <c r="B71" s="1"/>
      <c r="C71" s="1"/>
      <c r="D71" s="1"/>
      <c r="E71" s="1"/>
    </row>
    <row r="72" spans="1:5" x14ac:dyDescent="0.25">
      <c r="D72" s="2" t="s">
        <v>122</v>
      </c>
      <c r="E72" s="2">
        <v>313.14</v>
      </c>
    </row>
    <row r="73" spans="1:5" x14ac:dyDescent="0.25">
      <c r="D73" s="2" t="s">
        <v>123</v>
      </c>
      <c r="E73" s="2">
        <v>176.11</v>
      </c>
    </row>
    <row r="74" spans="1:5" x14ac:dyDescent="0.25">
      <c r="D74" s="2" t="s">
        <v>124</v>
      </c>
      <c r="E74" s="17">
        <f>E77</f>
        <v>55147.085400000004</v>
      </c>
    </row>
    <row r="76" spans="1:5" x14ac:dyDescent="0.25">
      <c r="A76" s="8" t="s">
        <v>125</v>
      </c>
      <c r="B76" s="5">
        <f>E78-B77</f>
        <v>95790.085400000011</v>
      </c>
      <c r="D76" s="2" t="s">
        <v>17</v>
      </c>
      <c r="E76" s="4">
        <f>E64</f>
        <v>42542</v>
      </c>
    </row>
    <row r="77" spans="1:5" x14ac:dyDescent="0.25">
      <c r="A77" s="12" t="s">
        <v>31</v>
      </c>
      <c r="B77" s="4">
        <f>B64</f>
        <v>1899</v>
      </c>
      <c r="D77" s="2" t="s">
        <v>6</v>
      </c>
      <c r="E77" s="17">
        <f>E72*E73</f>
        <v>55147.085400000004</v>
      </c>
    </row>
    <row r="78" spans="1:5" x14ac:dyDescent="0.25">
      <c r="A78" s="8" t="s">
        <v>62</v>
      </c>
      <c r="B78" s="5">
        <f>E78</f>
        <v>97689.085400000011</v>
      </c>
      <c r="D78" s="3" t="s">
        <v>62</v>
      </c>
      <c r="E78" s="5">
        <f>SUM(E76,E77)</f>
        <v>97689.085400000011</v>
      </c>
    </row>
    <row r="81" spans="1:6" ht="18.75" x14ac:dyDescent="0.25">
      <c r="A81" s="25" t="s">
        <v>104</v>
      </c>
      <c r="B81" s="25"/>
      <c r="C81" s="25"/>
      <c r="D81" s="25"/>
      <c r="E81" s="25"/>
      <c r="F81" s="25"/>
    </row>
    <row r="82" spans="1:6" x14ac:dyDescent="0.25">
      <c r="A82" s="23"/>
      <c r="B82" s="27" t="s">
        <v>102</v>
      </c>
      <c r="D82" s="26" t="s">
        <v>103</v>
      </c>
      <c r="E82" s="24" t="s">
        <v>105</v>
      </c>
      <c r="F82" s="24"/>
    </row>
    <row r="83" spans="1:6" x14ac:dyDescent="0.25">
      <c r="A83" s="23" t="s">
        <v>89</v>
      </c>
      <c r="B83" s="28">
        <v>39258</v>
      </c>
      <c r="D83" s="28">
        <v>53800</v>
      </c>
      <c r="E83" s="24"/>
      <c r="F83" s="24"/>
    </row>
    <row r="84" spans="1:6" x14ac:dyDescent="0.25">
      <c r="A84" s="23" t="s">
        <v>90</v>
      </c>
      <c r="B84" s="29">
        <v>10888</v>
      </c>
      <c r="D84" s="28">
        <v>17170</v>
      </c>
      <c r="E84" s="24"/>
      <c r="F84" s="24"/>
    </row>
    <row r="85" spans="1:6" ht="31.5" x14ac:dyDescent="0.25">
      <c r="A85" s="23" t="s">
        <v>91</v>
      </c>
      <c r="B85" s="29">
        <v>6107</v>
      </c>
      <c r="D85" s="28">
        <v>10867</v>
      </c>
      <c r="E85" s="24"/>
      <c r="F85" s="24"/>
    </row>
    <row r="86" spans="1:6" x14ac:dyDescent="0.25">
      <c r="A86" s="23" t="s">
        <v>92</v>
      </c>
      <c r="B86" s="29">
        <v>4088</v>
      </c>
      <c r="D86" s="28">
        <v>8290</v>
      </c>
      <c r="E86" s="24"/>
      <c r="F86" s="24"/>
    </row>
    <row r="87" spans="1:6" x14ac:dyDescent="0.25">
      <c r="A87" s="23" t="s">
        <v>93</v>
      </c>
      <c r="B87" s="29">
        <v>3257</v>
      </c>
      <c r="D87" s="28">
        <v>6066</v>
      </c>
      <c r="E87" s="24"/>
      <c r="F87" s="24"/>
    </row>
    <row r="90" spans="1:6" ht="31.5" customHeight="1" x14ac:dyDescent="0.25">
      <c r="A90" s="31" t="s">
        <v>94</v>
      </c>
      <c r="B90" s="31"/>
      <c r="C90" s="31"/>
      <c r="D90" s="31"/>
      <c r="E90" s="31"/>
    </row>
    <row r="91" spans="1:6" ht="18.75" x14ac:dyDescent="0.3">
      <c r="A91" s="30" t="s">
        <v>95</v>
      </c>
    </row>
    <row r="92" spans="1:6" x14ac:dyDescent="0.25">
      <c r="A92" s="12" t="s">
        <v>96</v>
      </c>
      <c r="B92" s="18">
        <f>$B$76/B83</f>
        <v>2.4400144021600694</v>
      </c>
      <c r="D92" s="2" t="str" cm="1">
        <f t="array" aca="1" ref="D92" ca="1">getformula(B92)</f>
        <v>&lt;-- =$B$76/B83</v>
      </c>
    </row>
    <row r="93" spans="1:6" x14ac:dyDescent="0.25">
      <c r="A93" s="12" t="s">
        <v>97</v>
      </c>
      <c r="B93" s="18">
        <f t="shared" ref="B93:B96" si="0">$B$76/B84</f>
        <v>8.7977668442321839</v>
      </c>
    </row>
    <row r="94" spans="1:6" ht="31.5" x14ac:dyDescent="0.25">
      <c r="A94" s="16" t="s">
        <v>98</v>
      </c>
      <c r="B94" s="18">
        <f t="shared" si="0"/>
        <v>15.685293171770102</v>
      </c>
    </row>
    <row r="95" spans="1:6" ht="31.5" x14ac:dyDescent="0.25">
      <c r="A95" s="12" t="s">
        <v>99</v>
      </c>
      <c r="B95" s="18">
        <f t="shared" si="0"/>
        <v>23.432016976516636</v>
      </c>
    </row>
    <row r="96" spans="1:6" x14ac:dyDescent="0.25">
      <c r="A96" s="12" t="s">
        <v>100</v>
      </c>
      <c r="B96" s="18">
        <f t="shared" si="0"/>
        <v>29.410526680994785</v>
      </c>
    </row>
    <row r="98" spans="1:4" ht="18.75" x14ac:dyDescent="0.3">
      <c r="A98" s="30" t="s">
        <v>101</v>
      </c>
    </row>
    <row r="99" spans="1:4" x14ac:dyDescent="0.25">
      <c r="A99" s="12" t="s">
        <v>106</v>
      </c>
      <c r="B99" s="17">
        <f>B92*D83</f>
        <v>131272.77483621173</v>
      </c>
      <c r="C99" s="2" t="str" cm="1">
        <f t="array" aca="1" ref="C99" ca="1">getformula(B99)</f>
        <v>&lt;-- =B92*D83</v>
      </c>
    </row>
    <row r="100" spans="1:4" x14ac:dyDescent="0.25">
      <c r="A100" s="12" t="s">
        <v>107</v>
      </c>
      <c r="B100" s="17">
        <f>B93*D84</f>
        <v>151057.65671546661</v>
      </c>
    </row>
    <row r="101" spans="1:4" x14ac:dyDescent="0.25">
      <c r="A101" s="12" t="s">
        <v>108</v>
      </c>
      <c r="B101" s="17">
        <f>B94*D85</f>
        <v>170452.08089762571</v>
      </c>
    </row>
    <row r="102" spans="1:4" x14ac:dyDescent="0.25">
      <c r="A102" s="12" t="s">
        <v>109</v>
      </c>
      <c r="B102" s="17">
        <f>B95*D86</f>
        <v>194251.4207353229</v>
      </c>
    </row>
    <row r="103" spans="1:4" x14ac:dyDescent="0.25">
      <c r="A103" s="12" t="s">
        <v>110</v>
      </c>
      <c r="B103" s="17">
        <f>B96*D87</f>
        <v>178404.25484691435</v>
      </c>
    </row>
    <row r="104" spans="1:4" x14ac:dyDescent="0.25">
      <c r="A104" s="8" t="s">
        <v>111</v>
      </c>
      <c r="B104" s="19">
        <f>AVERAGE(B99:B103)</f>
        <v>165087.63760630827</v>
      </c>
    </row>
    <row r="106" spans="1:4" x14ac:dyDescent="0.25">
      <c r="A106" s="12" t="s">
        <v>112</v>
      </c>
      <c r="B106" s="4">
        <v>3340</v>
      </c>
      <c r="D106" s="2" t="s">
        <v>133</v>
      </c>
    </row>
    <row r="107" spans="1:4" x14ac:dyDescent="0.25">
      <c r="A107" s="12" t="s">
        <v>113</v>
      </c>
      <c r="B107" s="4">
        <v>-42996</v>
      </c>
      <c r="D107" s="2" t="s">
        <v>134</v>
      </c>
    </row>
    <row r="108" spans="1:4" x14ac:dyDescent="0.25">
      <c r="A108" s="8" t="s">
        <v>114</v>
      </c>
      <c r="B108" s="5">
        <f>SUM(B104:B107)</f>
        <v>125431.63760630827</v>
      </c>
    </row>
  </sheetData>
  <mergeCells count="8">
    <mergeCell ref="A90:E90"/>
    <mergeCell ref="A1:E1"/>
    <mergeCell ref="A3:E3"/>
    <mergeCell ref="A57:E57"/>
    <mergeCell ref="A71:E71"/>
    <mergeCell ref="A81:F81"/>
    <mergeCell ref="A4:E4"/>
    <mergeCell ref="A25:E2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CAT Bal. Sheet</vt:lpstr>
      <vt:lpstr>Accounting EV Caterpillar Inc.</vt:lpstr>
      <vt:lpstr>The Efficient Markets Approach</vt:lpstr>
      <vt:lpstr>Using Multiples to value CAT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</dc:creator>
  <cp:lastModifiedBy>x</cp:lastModifiedBy>
  <dcterms:created xsi:type="dcterms:W3CDTF">2025-05-04T09:26:12Z</dcterms:created>
  <dcterms:modified xsi:type="dcterms:W3CDTF">2025-05-11T17:06:58Z</dcterms:modified>
</cp:coreProperties>
</file>