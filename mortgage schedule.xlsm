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\Desktop\Corporate Finance\"/>
    </mc:Choice>
  </mc:AlternateContent>
  <xr:revisionPtr revIDLastSave="0" documentId="13_ncr:1_{87B8E857-E76D-4EE0-829E-E432DC4B30EA}" xr6:coauthVersionLast="47" xr6:coauthVersionMax="47" xr10:uidLastSave="{00000000-0000-0000-0000-000000000000}"/>
  <bookViews>
    <workbookView xWindow="-120" yWindow="-120" windowWidth="20730" windowHeight="11310" xr2:uid="{3838C328-444E-4152-93ED-A94825A5D49E}"/>
  </bookViews>
  <sheets>
    <sheet name="Sheet2" sheetId="2" r:id="rId1"/>
    <sheet name="Sheet1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" i="2" l="1"/>
  <c r="G13" i="2"/>
  <c r="G12" i="2"/>
  <c r="G11" i="2"/>
  <c r="B13" i="2"/>
  <c r="D13" i="2" s="1"/>
  <c r="C13" i="2"/>
  <c r="E13" i="2"/>
  <c r="B14" i="2" s="1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E12" i="2"/>
  <c r="D12" i="2"/>
  <c r="C12" i="2"/>
  <c r="A253" i="2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77" i="2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13" i="2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C11" i="2"/>
  <c r="B11" i="2"/>
  <c r="D11" i="2" s="1"/>
  <c r="A12" i="2"/>
  <c r="B7" i="2"/>
  <c r="B6" i="2"/>
  <c r="B5" i="2"/>
  <c r="H14" i="2" a="1"/>
  <c r="H13" i="2" a="1"/>
  <c r="H12" i="2" a="1"/>
  <c r="H11" i="2" a="1"/>
  <c r="C7" i="2" a="1"/>
  <c r="C6" i="2" a="1"/>
  <c r="H13" i="2" l="1"/>
  <c r="H14" i="2"/>
  <c r="H12" i="2"/>
  <c r="H11" i="2"/>
  <c r="D14" i="2"/>
  <c r="E14" i="2" s="1"/>
  <c r="B15" i="2" s="1"/>
  <c r="E11" i="2"/>
  <c r="B12" i="2" s="1"/>
  <c r="C7" i="2"/>
  <c r="C6" i="2"/>
  <c r="D15" i="2" l="1"/>
  <c r="E15" i="2" s="1"/>
  <c r="B16" i="2" s="1"/>
  <c r="D16" i="2" l="1"/>
  <c r="E16" i="2" s="1"/>
  <c r="B17" i="2" s="1"/>
  <c r="D17" i="2" l="1"/>
  <c r="E17" i="2" s="1"/>
  <c r="B18" i="2" s="1"/>
  <c r="D18" i="2" l="1"/>
  <c r="E18" i="2" s="1"/>
  <c r="B19" i="2" s="1"/>
  <c r="D19" i="2" l="1"/>
  <c r="E19" i="2" s="1"/>
  <c r="B20" i="2" s="1"/>
  <c r="D20" i="2" l="1"/>
  <c r="E20" i="2" s="1"/>
  <c r="B21" i="2" s="1"/>
  <c r="D21" i="2" l="1"/>
  <c r="E21" i="2" s="1"/>
  <c r="B22" i="2" s="1"/>
  <c r="D22" i="2" l="1"/>
  <c r="E22" i="2" s="1"/>
  <c r="B23" i="2" s="1"/>
  <c r="D23" i="2" l="1"/>
  <c r="E23" i="2" s="1"/>
  <c r="B24" i="2" s="1"/>
  <c r="D24" i="2" l="1"/>
  <c r="E24" i="2" s="1"/>
  <c r="B25" i="2" s="1"/>
  <c r="D25" i="2" l="1"/>
  <c r="E25" i="2" s="1"/>
  <c r="B26" i="2" s="1"/>
  <c r="D26" i="2" l="1"/>
  <c r="E26" i="2" s="1"/>
  <c r="B27" i="2" s="1"/>
  <c r="D27" i="2" l="1"/>
  <c r="E27" i="2" s="1"/>
  <c r="B28" i="2" s="1"/>
  <c r="D28" i="2" l="1"/>
  <c r="E28" i="2" s="1"/>
  <c r="B29" i="2" s="1"/>
  <c r="D29" i="2" l="1"/>
  <c r="E29" i="2" s="1"/>
  <c r="B30" i="2" s="1"/>
  <c r="B31" i="2" l="1"/>
  <c r="D30" i="2"/>
  <c r="E30" i="2" s="1"/>
  <c r="D31" i="2" l="1"/>
  <c r="E31" i="2" s="1"/>
  <c r="B32" i="2" s="1"/>
  <c r="D32" i="2" l="1"/>
  <c r="E32" i="2" s="1"/>
  <c r="B33" i="2" s="1"/>
  <c r="D33" i="2" l="1"/>
  <c r="E33" i="2" s="1"/>
  <c r="B34" i="2" s="1"/>
  <c r="D34" i="2" l="1"/>
  <c r="E34" i="2" s="1"/>
  <c r="B35" i="2" s="1"/>
  <c r="D35" i="2" l="1"/>
  <c r="E35" i="2" s="1"/>
  <c r="B36" i="2" s="1"/>
  <c r="D36" i="2" l="1"/>
  <c r="E36" i="2" s="1"/>
  <c r="B37" i="2" s="1"/>
  <c r="D37" i="2" l="1"/>
  <c r="E37" i="2" s="1"/>
  <c r="B38" i="2" s="1"/>
  <c r="D38" i="2" l="1"/>
  <c r="E38" i="2" s="1"/>
  <c r="B39" i="2" s="1"/>
  <c r="D39" i="2" l="1"/>
  <c r="E39" i="2" s="1"/>
  <c r="B40" i="2" s="1"/>
  <c r="D40" i="2" l="1"/>
  <c r="E40" i="2" s="1"/>
  <c r="B41" i="2" s="1"/>
  <c r="D41" i="2" l="1"/>
  <c r="E41" i="2" s="1"/>
  <c r="B42" i="2" s="1"/>
  <c r="D42" i="2" l="1"/>
  <c r="E42" i="2" s="1"/>
  <c r="B43" i="2" s="1"/>
  <c r="D43" i="2" l="1"/>
  <c r="E43" i="2" s="1"/>
  <c r="B44" i="2" s="1"/>
  <c r="D44" i="2" l="1"/>
  <c r="E44" i="2" s="1"/>
  <c r="B45" i="2" s="1"/>
  <c r="D45" i="2" l="1"/>
  <c r="E45" i="2" s="1"/>
  <c r="B46" i="2" s="1"/>
  <c r="D46" i="2" l="1"/>
  <c r="E46" i="2" s="1"/>
  <c r="B47" i="2" s="1"/>
  <c r="D47" i="2" l="1"/>
  <c r="E47" i="2" s="1"/>
  <c r="B48" i="2" s="1"/>
  <c r="D48" i="2" l="1"/>
  <c r="E48" i="2" s="1"/>
  <c r="B49" i="2" s="1"/>
  <c r="D49" i="2" l="1"/>
  <c r="E49" i="2" s="1"/>
  <c r="B50" i="2" s="1"/>
  <c r="D50" i="2" l="1"/>
  <c r="E50" i="2" s="1"/>
  <c r="B51" i="2" s="1"/>
  <c r="D51" i="2" l="1"/>
  <c r="E51" i="2" s="1"/>
  <c r="B52" i="2" s="1"/>
  <c r="D52" i="2" l="1"/>
  <c r="E52" i="2" s="1"/>
  <c r="B53" i="2" s="1"/>
  <c r="D53" i="2" l="1"/>
  <c r="E53" i="2" s="1"/>
  <c r="B54" i="2" s="1"/>
  <c r="D54" i="2" l="1"/>
  <c r="E54" i="2" s="1"/>
  <c r="B55" i="2" s="1"/>
  <c r="D55" i="2" l="1"/>
  <c r="E55" i="2" s="1"/>
  <c r="B56" i="2" s="1"/>
  <c r="D56" i="2" l="1"/>
  <c r="E56" i="2" s="1"/>
  <c r="B57" i="2" s="1"/>
  <c r="D57" i="2" l="1"/>
  <c r="E57" i="2" s="1"/>
  <c r="B58" i="2" s="1"/>
  <c r="D58" i="2" l="1"/>
  <c r="E58" i="2" s="1"/>
  <c r="B59" i="2" s="1"/>
  <c r="D59" i="2" l="1"/>
  <c r="E59" i="2" s="1"/>
  <c r="B60" i="2" s="1"/>
  <c r="D60" i="2" l="1"/>
  <c r="E60" i="2" s="1"/>
  <c r="B61" i="2" s="1"/>
  <c r="D61" i="2" l="1"/>
  <c r="E61" i="2" s="1"/>
  <c r="B62" i="2" s="1"/>
  <c r="D62" i="2" l="1"/>
  <c r="E62" i="2" s="1"/>
  <c r="B63" i="2" s="1"/>
  <c r="D63" i="2" l="1"/>
  <c r="E63" i="2" s="1"/>
  <c r="B64" i="2" s="1"/>
  <c r="D64" i="2" l="1"/>
  <c r="E64" i="2" s="1"/>
  <c r="B65" i="2" s="1"/>
  <c r="D65" i="2" l="1"/>
  <c r="E65" i="2" s="1"/>
  <c r="B66" i="2" s="1"/>
  <c r="D66" i="2" l="1"/>
  <c r="E66" i="2" s="1"/>
  <c r="B67" i="2" s="1"/>
  <c r="D67" i="2" l="1"/>
  <c r="E67" i="2" s="1"/>
  <c r="B68" i="2" s="1"/>
  <c r="D68" i="2" l="1"/>
  <c r="E68" i="2" s="1"/>
  <c r="B69" i="2" s="1"/>
  <c r="D69" i="2" l="1"/>
  <c r="E69" i="2" s="1"/>
  <c r="B70" i="2" s="1"/>
  <c r="D70" i="2" l="1"/>
  <c r="E70" i="2" s="1"/>
  <c r="B71" i="2" s="1"/>
  <c r="B72" i="2" l="1"/>
  <c r="D71" i="2"/>
  <c r="E71" i="2" s="1"/>
  <c r="D72" i="2" l="1"/>
  <c r="E72" i="2" s="1"/>
  <c r="B73" i="2" s="1"/>
  <c r="D73" i="2" l="1"/>
  <c r="E73" i="2" s="1"/>
  <c r="B74" i="2" s="1"/>
  <c r="D74" i="2" l="1"/>
  <c r="E74" i="2" s="1"/>
  <c r="B75" i="2" s="1"/>
  <c r="D75" i="2" l="1"/>
  <c r="E75" i="2" s="1"/>
  <c r="B76" i="2" s="1"/>
  <c r="D76" i="2" l="1"/>
  <c r="E76" i="2" s="1"/>
  <c r="B77" i="2" s="1"/>
  <c r="D77" i="2" l="1"/>
  <c r="E77" i="2" s="1"/>
  <c r="B78" i="2" s="1"/>
  <c r="D78" i="2" l="1"/>
  <c r="E78" i="2" s="1"/>
  <c r="B79" i="2" s="1"/>
  <c r="D79" i="2" l="1"/>
  <c r="E79" i="2" s="1"/>
  <c r="B80" i="2" s="1"/>
  <c r="D80" i="2" l="1"/>
  <c r="E80" i="2" s="1"/>
  <c r="B81" i="2" s="1"/>
  <c r="D81" i="2" l="1"/>
  <c r="E81" i="2" s="1"/>
  <c r="B82" i="2" s="1"/>
  <c r="D82" i="2" l="1"/>
  <c r="E82" i="2" s="1"/>
  <c r="B83" i="2" s="1"/>
  <c r="D83" i="2" l="1"/>
  <c r="E83" i="2" s="1"/>
  <c r="B84" i="2" s="1"/>
  <c r="D84" i="2" l="1"/>
  <c r="E84" i="2" s="1"/>
  <c r="B85" i="2" s="1"/>
  <c r="D85" i="2" l="1"/>
  <c r="E85" i="2" s="1"/>
  <c r="B86" i="2" s="1"/>
  <c r="D86" i="2" l="1"/>
  <c r="E86" i="2" s="1"/>
  <c r="B87" i="2" s="1"/>
  <c r="D87" i="2" l="1"/>
  <c r="E87" i="2" s="1"/>
  <c r="B88" i="2" s="1"/>
  <c r="D88" i="2" l="1"/>
  <c r="E88" i="2" s="1"/>
  <c r="B89" i="2" s="1"/>
  <c r="D89" i="2" l="1"/>
  <c r="E89" i="2" s="1"/>
  <c r="B90" i="2" s="1"/>
  <c r="D90" i="2" l="1"/>
  <c r="E90" i="2" s="1"/>
  <c r="B91" i="2" s="1"/>
  <c r="D91" i="2" l="1"/>
  <c r="E91" i="2" s="1"/>
  <c r="B92" i="2" s="1"/>
  <c r="D92" i="2" l="1"/>
  <c r="E92" i="2" s="1"/>
  <c r="B93" i="2" s="1"/>
  <c r="D93" i="2" l="1"/>
  <c r="E93" i="2" s="1"/>
  <c r="B94" i="2" s="1"/>
  <c r="D94" i="2" l="1"/>
  <c r="E94" i="2" s="1"/>
  <c r="B95" i="2" s="1"/>
  <c r="D95" i="2" l="1"/>
  <c r="E95" i="2" s="1"/>
  <c r="B96" i="2" s="1"/>
  <c r="D96" i="2" l="1"/>
  <c r="E96" i="2" s="1"/>
  <c r="B97" i="2" s="1"/>
  <c r="D97" i="2" l="1"/>
  <c r="E97" i="2" s="1"/>
  <c r="B98" i="2" s="1"/>
  <c r="D98" i="2" l="1"/>
  <c r="E98" i="2" s="1"/>
  <c r="B99" i="2"/>
  <c r="D99" i="2" l="1"/>
  <c r="E99" i="2" s="1"/>
  <c r="B100" i="2"/>
  <c r="D100" i="2" l="1"/>
  <c r="E100" i="2" s="1"/>
  <c r="B101" i="2"/>
  <c r="D101" i="2" l="1"/>
  <c r="E101" i="2" s="1"/>
  <c r="B102" i="2"/>
  <c r="D102" i="2" l="1"/>
  <c r="E102" i="2" s="1"/>
  <c r="B103" i="2"/>
  <c r="D103" i="2" l="1"/>
  <c r="E103" i="2" s="1"/>
  <c r="B104" i="2"/>
  <c r="D104" i="2" l="1"/>
  <c r="E104" i="2" s="1"/>
  <c r="B105" i="2"/>
  <c r="D105" i="2" l="1"/>
  <c r="E105" i="2" s="1"/>
  <c r="B106" i="2"/>
  <c r="D106" i="2" l="1"/>
  <c r="E106" i="2" s="1"/>
  <c r="B107" i="2" s="1"/>
  <c r="D107" i="2" l="1"/>
  <c r="E107" i="2" s="1"/>
  <c r="B108" i="2"/>
  <c r="D108" i="2" l="1"/>
  <c r="E108" i="2" s="1"/>
  <c r="B109" i="2" s="1"/>
  <c r="D109" i="2" l="1"/>
  <c r="E109" i="2" s="1"/>
  <c r="B110" i="2"/>
  <c r="D110" i="2" l="1"/>
  <c r="E110" i="2" s="1"/>
  <c r="B111" i="2"/>
  <c r="D111" i="2" l="1"/>
  <c r="E111" i="2" s="1"/>
  <c r="B112" i="2"/>
  <c r="D112" i="2" l="1"/>
  <c r="E112" i="2" s="1"/>
  <c r="B113" i="2"/>
  <c r="D113" i="2" l="1"/>
  <c r="E113" i="2" s="1"/>
  <c r="B114" i="2"/>
  <c r="D114" i="2" l="1"/>
  <c r="E114" i="2" s="1"/>
  <c r="B115" i="2"/>
  <c r="D115" i="2" l="1"/>
  <c r="E115" i="2" s="1"/>
  <c r="B116" i="2"/>
  <c r="D116" i="2" l="1"/>
  <c r="E116" i="2" s="1"/>
  <c r="B117" i="2"/>
  <c r="D117" i="2" l="1"/>
  <c r="E117" i="2" s="1"/>
  <c r="B118" i="2"/>
  <c r="D118" i="2" l="1"/>
  <c r="E118" i="2" s="1"/>
  <c r="B119" i="2"/>
  <c r="D119" i="2" l="1"/>
  <c r="E119" i="2" s="1"/>
  <c r="B120" i="2"/>
  <c r="D120" i="2" l="1"/>
  <c r="E120" i="2" s="1"/>
  <c r="B121" i="2"/>
  <c r="D121" i="2" l="1"/>
  <c r="E121" i="2" s="1"/>
  <c r="B122" i="2"/>
  <c r="D122" i="2" l="1"/>
  <c r="E122" i="2" s="1"/>
  <c r="B123" i="2"/>
  <c r="D123" i="2" l="1"/>
  <c r="E123" i="2" s="1"/>
  <c r="B124" i="2"/>
  <c r="D124" i="2" l="1"/>
  <c r="E124" i="2" s="1"/>
  <c r="B125" i="2"/>
  <c r="D125" i="2" l="1"/>
  <c r="E125" i="2" s="1"/>
  <c r="B126" i="2"/>
  <c r="D126" i="2" l="1"/>
  <c r="E126" i="2" s="1"/>
  <c r="B127" i="2"/>
  <c r="D127" i="2" l="1"/>
  <c r="E127" i="2" s="1"/>
  <c r="B128" i="2"/>
  <c r="D128" i="2" l="1"/>
  <c r="E128" i="2" s="1"/>
  <c r="B129" i="2"/>
  <c r="D129" i="2" l="1"/>
  <c r="E129" i="2" s="1"/>
  <c r="B130" i="2"/>
  <c r="D130" i="2" l="1"/>
  <c r="E130" i="2" s="1"/>
  <c r="B131" i="2"/>
  <c r="D131" i="2" l="1"/>
  <c r="E131" i="2" s="1"/>
  <c r="B132" i="2"/>
  <c r="D132" i="2" l="1"/>
  <c r="E132" i="2" s="1"/>
  <c r="B133" i="2"/>
  <c r="D133" i="2" l="1"/>
  <c r="E133" i="2" s="1"/>
  <c r="B134" i="2"/>
  <c r="D134" i="2" l="1"/>
  <c r="E134" i="2" s="1"/>
  <c r="B135" i="2"/>
  <c r="D135" i="2" l="1"/>
  <c r="E135" i="2" s="1"/>
  <c r="B136" i="2"/>
  <c r="D136" i="2" l="1"/>
  <c r="E136" i="2" s="1"/>
  <c r="B137" i="2"/>
  <c r="D137" i="2" l="1"/>
  <c r="E137" i="2" s="1"/>
  <c r="B138" i="2"/>
  <c r="D138" i="2" l="1"/>
  <c r="E138" i="2" s="1"/>
  <c r="B139" i="2"/>
  <c r="D139" i="2" l="1"/>
  <c r="E139" i="2" s="1"/>
  <c r="B140" i="2"/>
  <c r="D140" i="2" l="1"/>
  <c r="E140" i="2" s="1"/>
  <c r="B141" i="2"/>
  <c r="D141" i="2" l="1"/>
  <c r="E141" i="2" s="1"/>
  <c r="B142" i="2" s="1"/>
  <c r="D142" i="2" l="1"/>
  <c r="E142" i="2" s="1"/>
  <c r="B143" i="2"/>
  <c r="D143" i="2" l="1"/>
  <c r="E143" i="2" s="1"/>
  <c r="B144" i="2"/>
  <c r="D144" i="2" l="1"/>
  <c r="E144" i="2" s="1"/>
  <c r="B145" i="2"/>
  <c r="D145" i="2" l="1"/>
  <c r="E145" i="2" s="1"/>
  <c r="B146" i="2"/>
  <c r="D146" i="2" l="1"/>
  <c r="E146" i="2" s="1"/>
  <c r="B147" i="2"/>
  <c r="D147" i="2" l="1"/>
  <c r="E147" i="2" s="1"/>
  <c r="B148" i="2"/>
  <c r="D148" i="2" l="1"/>
  <c r="E148" i="2" s="1"/>
  <c r="B149" i="2" s="1"/>
  <c r="D149" i="2" l="1"/>
  <c r="E149" i="2" s="1"/>
  <c r="B150" i="2"/>
  <c r="D150" i="2" l="1"/>
  <c r="E150" i="2" s="1"/>
  <c r="B151" i="2"/>
  <c r="D151" i="2" l="1"/>
  <c r="E151" i="2" s="1"/>
  <c r="B152" i="2"/>
  <c r="D152" i="2" l="1"/>
  <c r="E152" i="2" s="1"/>
  <c r="B153" i="2"/>
  <c r="D153" i="2" l="1"/>
  <c r="E153" i="2" s="1"/>
  <c r="B154" i="2"/>
  <c r="D154" i="2" l="1"/>
  <c r="E154" i="2" s="1"/>
  <c r="B155" i="2" s="1"/>
  <c r="D155" i="2" l="1"/>
  <c r="E155" i="2" s="1"/>
  <c r="B156" i="2"/>
  <c r="D156" i="2" l="1"/>
  <c r="E156" i="2" s="1"/>
  <c r="B157" i="2"/>
  <c r="D157" i="2" l="1"/>
  <c r="E157" i="2" s="1"/>
  <c r="B158" i="2"/>
  <c r="D158" i="2" l="1"/>
  <c r="E158" i="2" s="1"/>
  <c r="B159" i="2"/>
  <c r="D159" i="2" l="1"/>
  <c r="E159" i="2" s="1"/>
  <c r="B160" i="2"/>
  <c r="D160" i="2" l="1"/>
  <c r="E160" i="2" s="1"/>
  <c r="B161" i="2"/>
  <c r="D161" i="2" l="1"/>
  <c r="E161" i="2" s="1"/>
  <c r="B162" i="2"/>
  <c r="D162" i="2" l="1"/>
  <c r="E162" i="2" s="1"/>
  <c r="B163" i="2" s="1"/>
  <c r="D163" i="2" l="1"/>
  <c r="E163" i="2" s="1"/>
  <c r="B164" i="2"/>
  <c r="D164" i="2" l="1"/>
  <c r="E164" i="2" s="1"/>
  <c r="B165" i="2"/>
  <c r="D165" i="2" l="1"/>
  <c r="E165" i="2" s="1"/>
  <c r="B166" i="2"/>
  <c r="D166" i="2" l="1"/>
  <c r="E166" i="2" s="1"/>
  <c r="B167" i="2"/>
  <c r="D167" i="2" l="1"/>
  <c r="E167" i="2" s="1"/>
  <c r="B168" i="2"/>
  <c r="D168" i="2" l="1"/>
  <c r="E168" i="2" s="1"/>
  <c r="B169" i="2"/>
  <c r="D169" i="2" l="1"/>
  <c r="E169" i="2" s="1"/>
  <c r="B170" i="2"/>
  <c r="D170" i="2" l="1"/>
  <c r="E170" i="2" s="1"/>
  <c r="B171" i="2"/>
  <c r="D171" i="2" l="1"/>
  <c r="E171" i="2" s="1"/>
  <c r="B172" i="2"/>
  <c r="D172" i="2" l="1"/>
  <c r="E172" i="2" s="1"/>
  <c r="B173" i="2"/>
  <c r="D173" i="2" l="1"/>
  <c r="E173" i="2" s="1"/>
  <c r="B174" i="2"/>
  <c r="D174" i="2" l="1"/>
  <c r="E174" i="2" s="1"/>
  <c r="B175" i="2"/>
  <c r="D175" i="2" l="1"/>
  <c r="E175" i="2" s="1"/>
  <c r="B176" i="2"/>
  <c r="D176" i="2" l="1"/>
  <c r="E176" i="2" s="1"/>
  <c r="B177" i="2"/>
  <c r="D177" i="2" l="1"/>
  <c r="E177" i="2" s="1"/>
  <c r="B178" i="2"/>
  <c r="D178" i="2" l="1"/>
  <c r="E178" i="2" s="1"/>
  <c r="B179" i="2"/>
  <c r="D179" i="2" l="1"/>
  <c r="E179" i="2" s="1"/>
  <c r="B180" i="2"/>
  <c r="D180" i="2" l="1"/>
  <c r="E180" i="2" s="1"/>
  <c r="B181" i="2"/>
  <c r="D181" i="2" l="1"/>
  <c r="E181" i="2" s="1"/>
  <c r="B182" i="2"/>
  <c r="D182" i="2" l="1"/>
  <c r="E182" i="2" s="1"/>
  <c r="B183" i="2"/>
  <c r="D183" i="2" l="1"/>
  <c r="E183" i="2" s="1"/>
  <c r="B184" i="2"/>
  <c r="D184" i="2" l="1"/>
  <c r="E184" i="2" s="1"/>
  <c r="B185" i="2"/>
  <c r="D185" i="2" l="1"/>
  <c r="E185" i="2" s="1"/>
  <c r="B186" i="2"/>
  <c r="D186" i="2" l="1"/>
  <c r="E186" i="2" s="1"/>
  <c r="B187" i="2"/>
  <c r="D187" i="2" l="1"/>
  <c r="E187" i="2" s="1"/>
  <c r="B188" i="2"/>
  <c r="D188" i="2" l="1"/>
  <c r="E188" i="2" s="1"/>
  <c r="B189" i="2"/>
  <c r="D189" i="2" l="1"/>
  <c r="E189" i="2" s="1"/>
  <c r="B190" i="2"/>
  <c r="D190" i="2" l="1"/>
  <c r="E190" i="2" s="1"/>
  <c r="B191" i="2"/>
  <c r="D191" i="2" l="1"/>
  <c r="E191" i="2" s="1"/>
  <c r="B192" i="2"/>
  <c r="D192" i="2" l="1"/>
  <c r="E192" i="2" s="1"/>
  <c r="B193" i="2"/>
  <c r="D193" i="2" l="1"/>
  <c r="E193" i="2" s="1"/>
  <c r="B194" i="2"/>
  <c r="D194" i="2" l="1"/>
  <c r="E194" i="2" s="1"/>
  <c r="B195" i="2"/>
  <c r="D195" i="2" l="1"/>
  <c r="E195" i="2" s="1"/>
  <c r="B196" i="2" s="1"/>
  <c r="D196" i="2" l="1"/>
  <c r="E196" i="2" s="1"/>
  <c r="B197" i="2"/>
  <c r="D197" i="2" l="1"/>
  <c r="E197" i="2" s="1"/>
  <c r="B198" i="2"/>
  <c r="D198" i="2" l="1"/>
  <c r="E198" i="2" s="1"/>
  <c r="B199" i="2"/>
  <c r="D199" i="2" l="1"/>
  <c r="E199" i="2" s="1"/>
  <c r="B200" i="2"/>
  <c r="D200" i="2" l="1"/>
  <c r="E200" i="2" s="1"/>
  <c r="B201" i="2" s="1"/>
  <c r="D201" i="2" l="1"/>
  <c r="E201" i="2" s="1"/>
  <c r="B202" i="2"/>
  <c r="D202" i="2" l="1"/>
  <c r="E202" i="2" s="1"/>
  <c r="B203" i="2"/>
  <c r="D203" i="2" l="1"/>
  <c r="E203" i="2" s="1"/>
  <c r="B204" i="2"/>
  <c r="D204" i="2" l="1"/>
  <c r="E204" i="2" s="1"/>
  <c r="B205" i="2"/>
  <c r="D205" i="2" l="1"/>
  <c r="E205" i="2" s="1"/>
  <c r="B206" i="2"/>
  <c r="D206" i="2" l="1"/>
  <c r="E206" i="2" s="1"/>
  <c r="B207" i="2"/>
  <c r="D207" i="2" l="1"/>
  <c r="E207" i="2" s="1"/>
  <c r="B208" i="2"/>
  <c r="D208" i="2" l="1"/>
  <c r="E208" i="2" s="1"/>
  <c r="B209" i="2"/>
  <c r="D209" i="2" l="1"/>
  <c r="E209" i="2" s="1"/>
  <c r="B210" i="2"/>
  <c r="D210" i="2" l="1"/>
  <c r="E210" i="2" s="1"/>
  <c r="B211" i="2"/>
  <c r="D211" i="2" l="1"/>
  <c r="E211" i="2" s="1"/>
  <c r="B212" i="2"/>
  <c r="D212" i="2" l="1"/>
  <c r="E212" i="2" s="1"/>
  <c r="B213" i="2"/>
  <c r="D213" i="2" l="1"/>
  <c r="E213" i="2" s="1"/>
  <c r="B214" i="2"/>
  <c r="D214" i="2" l="1"/>
  <c r="E214" i="2" s="1"/>
  <c r="B215" i="2"/>
  <c r="D215" i="2" l="1"/>
  <c r="E215" i="2" s="1"/>
  <c r="B216" i="2"/>
  <c r="D216" i="2" l="1"/>
  <c r="E216" i="2" s="1"/>
  <c r="B217" i="2"/>
  <c r="D217" i="2" l="1"/>
  <c r="E217" i="2" s="1"/>
  <c r="B218" i="2"/>
  <c r="D218" i="2" l="1"/>
  <c r="E218" i="2" s="1"/>
  <c r="B219" i="2"/>
  <c r="D219" i="2" l="1"/>
  <c r="E219" i="2" s="1"/>
  <c r="B220" i="2"/>
  <c r="D220" i="2" l="1"/>
  <c r="E220" i="2" s="1"/>
  <c r="B221" i="2"/>
  <c r="D221" i="2" l="1"/>
  <c r="E221" i="2" s="1"/>
  <c r="B222" i="2"/>
  <c r="D222" i="2" l="1"/>
  <c r="E222" i="2" s="1"/>
  <c r="B223" i="2"/>
  <c r="D223" i="2" l="1"/>
  <c r="E223" i="2" s="1"/>
  <c r="B224" i="2"/>
  <c r="D224" i="2" l="1"/>
  <c r="E224" i="2" s="1"/>
  <c r="B225" i="2"/>
  <c r="D225" i="2" l="1"/>
  <c r="E225" i="2" s="1"/>
  <c r="B226" i="2"/>
  <c r="D226" i="2" l="1"/>
  <c r="E226" i="2" s="1"/>
  <c r="B227" i="2"/>
  <c r="D227" i="2" l="1"/>
  <c r="E227" i="2" s="1"/>
  <c r="B228" i="2"/>
  <c r="D228" i="2" l="1"/>
  <c r="E228" i="2" s="1"/>
  <c r="B229" i="2"/>
  <c r="D229" i="2" l="1"/>
  <c r="E229" i="2" s="1"/>
  <c r="B230" i="2"/>
  <c r="D230" i="2" l="1"/>
  <c r="E230" i="2" s="1"/>
  <c r="B231" i="2"/>
  <c r="D231" i="2" l="1"/>
  <c r="E231" i="2" s="1"/>
  <c r="B232" i="2"/>
  <c r="D232" i="2" l="1"/>
  <c r="E232" i="2" s="1"/>
  <c r="B233" i="2"/>
  <c r="D233" i="2" l="1"/>
  <c r="E233" i="2" s="1"/>
  <c r="B234" i="2"/>
  <c r="D234" i="2" l="1"/>
  <c r="E234" i="2" s="1"/>
  <c r="B235" i="2"/>
  <c r="D235" i="2" l="1"/>
  <c r="E235" i="2" s="1"/>
  <c r="B236" i="2"/>
  <c r="D236" i="2" l="1"/>
  <c r="E236" i="2" s="1"/>
  <c r="B237" i="2"/>
  <c r="D237" i="2" l="1"/>
  <c r="E237" i="2" s="1"/>
  <c r="B238" i="2" s="1"/>
  <c r="D238" i="2" l="1"/>
  <c r="E238" i="2" s="1"/>
  <c r="B239" i="2" s="1"/>
  <c r="D239" i="2" l="1"/>
  <c r="E239" i="2" s="1"/>
  <c r="B240" i="2" s="1"/>
  <c r="D240" i="2" l="1"/>
  <c r="E240" i="2" s="1"/>
  <c r="B241" i="2" s="1"/>
  <c r="D241" i="2" l="1"/>
  <c r="E241" i="2" s="1"/>
  <c r="B242" i="2" s="1"/>
  <c r="D242" i="2" l="1"/>
  <c r="E242" i="2" s="1"/>
  <c r="B243" i="2" s="1"/>
  <c r="D243" i="2" l="1"/>
  <c r="E243" i="2" s="1"/>
  <c r="B244" i="2" s="1"/>
  <c r="D244" i="2" l="1"/>
  <c r="E244" i="2" s="1"/>
  <c r="B245" i="2" s="1"/>
  <c r="D245" i="2" l="1"/>
  <c r="E245" i="2" s="1"/>
  <c r="B246" i="2" s="1"/>
  <c r="D246" i="2" l="1"/>
  <c r="E246" i="2" s="1"/>
  <c r="B247" i="2"/>
  <c r="D247" i="2" l="1"/>
  <c r="E247" i="2" s="1"/>
  <c r="B248" i="2"/>
  <c r="D248" i="2" l="1"/>
  <c r="E248" i="2" s="1"/>
  <c r="B249" i="2" s="1"/>
  <c r="D249" i="2" l="1"/>
  <c r="E249" i="2" s="1"/>
  <c r="B250" i="2"/>
  <c r="D250" i="2" l="1"/>
  <c r="E250" i="2" s="1"/>
  <c r="B251" i="2"/>
  <c r="D251" i="2" l="1"/>
  <c r="E251" i="2" s="1"/>
  <c r="B252" i="2" s="1"/>
  <c r="D252" i="2" l="1"/>
  <c r="E252" i="2" s="1"/>
  <c r="B253" i="2"/>
  <c r="D253" i="2" l="1"/>
  <c r="E253" i="2" s="1"/>
  <c r="B254" i="2"/>
  <c r="D254" i="2" l="1"/>
  <c r="E254" i="2" s="1"/>
  <c r="B255" i="2" s="1"/>
  <c r="D255" i="2" l="1"/>
  <c r="E255" i="2" s="1"/>
  <c r="B256" i="2"/>
  <c r="D256" i="2" l="1"/>
  <c r="E256" i="2" s="1"/>
  <c r="B257" i="2"/>
  <c r="D257" i="2" l="1"/>
  <c r="E257" i="2" s="1"/>
  <c r="B258" i="2" s="1"/>
  <c r="D258" i="2" l="1"/>
  <c r="E258" i="2" s="1"/>
  <c r="B259" i="2"/>
  <c r="D259" i="2" l="1"/>
  <c r="E259" i="2" s="1"/>
  <c r="B260" i="2"/>
  <c r="D260" i="2" l="1"/>
  <c r="E260" i="2" s="1"/>
  <c r="B261" i="2" s="1"/>
  <c r="D261" i="2" l="1"/>
  <c r="E261" i="2" s="1"/>
  <c r="B262" i="2"/>
  <c r="D262" i="2" l="1"/>
  <c r="E262" i="2" s="1"/>
  <c r="B263" i="2"/>
  <c r="D263" i="2" l="1"/>
  <c r="E263" i="2" s="1"/>
  <c r="B264" i="2" s="1"/>
  <c r="D264" i="2" l="1"/>
  <c r="E264" i="2" s="1"/>
  <c r="B265" i="2"/>
  <c r="D265" i="2" l="1"/>
  <c r="E265" i="2" s="1"/>
  <c r="B266" i="2"/>
  <c r="D266" i="2" l="1"/>
  <c r="E266" i="2" s="1"/>
  <c r="B267" i="2" s="1"/>
  <c r="D267" i="2" l="1"/>
  <c r="E267" i="2" s="1"/>
  <c r="B268" i="2"/>
  <c r="D268" i="2" l="1"/>
  <c r="E268" i="2" s="1"/>
  <c r="B269" i="2"/>
  <c r="D269" i="2" l="1"/>
  <c r="E269" i="2" s="1"/>
  <c r="B270" i="2" s="1"/>
  <c r="D270" i="2" l="1"/>
  <c r="E270" i="2" s="1"/>
  <c r="B271" i="2"/>
  <c r="D271" i="2" l="1"/>
  <c r="E271" i="2" s="1"/>
  <c r="B272" i="2"/>
  <c r="D272" i="2" l="1"/>
  <c r="E272" i="2" s="1"/>
  <c r="B273" i="2" s="1"/>
  <c r="D273" i="2" l="1"/>
  <c r="E273" i="2" s="1"/>
  <c r="B274" i="2"/>
  <c r="D274" i="2" l="1"/>
  <c r="E274" i="2" s="1"/>
  <c r="B275" i="2"/>
  <c r="D275" i="2" l="1"/>
  <c r="E275" i="2" s="1"/>
  <c r="B276" i="2" s="1"/>
  <c r="D276" i="2" l="1"/>
  <c r="E276" i="2" s="1"/>
  <c r="B277" i="2"/>
  <c r="D277" i="2" l="1"/>
  <c r="E277" i="2" s="1"/>
  <c r="B278" i="2"/>
  <c r="D278" i="2" l="1"/>
  <c r="E278" i="2" s="1"/>
  <c r="B279" i="2"/>
  <c r="D279" i="2" l="1"/>
  <c r="E279" i="2" s="1"/>
  <c r="B280" i="2" s="1"/>
  <c r="D280" i="2" l="1"/>
  <c r="E280" i="2" s="1"/>
  <c r="B281" i="2"/>
  <c r="D281" i="2" l="1"/>
  <c r="E281" i="2" s="1"/>
  <c r="B282" i="2"/>
  <c r="D282" i="2" l="1"/>
  <c r="E282" i="2" s="1"/>
  <c r="B283" i="2"/>
  <c r="D283" i="2" l="1"/>
  <c r="E283" i="2" s="1"/>
  <c r="B284" i="2" s="1"/>
  <c r="D284" i="2" l="1"/>
  <c r="E284" i="2" s="1"/>
  <c r="B285" i="2"/>
  <c r="D285" i="2" l="1"/>
  <c r="E285" i="2" s="1"/>
  <c r="B286" i="2"/>
  <c r="D286" i="2" l="1"/>
  <c r="E286" i="2" s="1"/>
  <c r="B287" i="2"/>
  <c r="D287" i="2" l="1"/>
  <c r="E287" i="2" s="1"/>
  <c r="B288" i="2" s="1"/>
  <c r="D288" i="2" l="1"/>
  <c r="E288" i="2" s="1"/>
  <c r="B289" i="2"/>
  <c r="D289" i="2" l="1"/>
  <c r="E289" i="2" s="1"/>
  <c r="B290" i="2"/>
  <c r="D290" i="2" l="1"/>
  <c r="E290" i="2" s="1"/>
  <c r="B291" i="2"/>
  <c r="D291" i="2" l="1"/>
  <c r="E291" i="2" s="1"/>
  <c r="B292" i="2"/>
  <c r="D292" i="2" l="1"/>
  <c r="E292" i="2" s="1"/>
  <c r="B293" i="2"/>
  <c r="D293" i="2" l="1"/>
  <c r="E293" i="2" s="1"/>
  <c r="B294" i="2"/>
  <c r="D294" i="2" l="1"/>
  <c r="E294" i="2" s="1"/>
  <c r="B295" i="2"/>
  <c r="D295" i="2" l="1"/>
  <c r="E295" i="2" s="1"/>
  <c r="B296" i="2"/>
  <c r="D296" i="2" l="1"/>
  <c r="E296" i="2" s="1"/>
  <c r="B297" i="2"/>
  <c r="D297" i="2" l="1"/>
  <c r="E297" i="2" s="1"/>
  <c r="B298" i="2"/>
  <c r="D298" i="2" l="1"/>
  <c r="E298" i="2" s="1"/>
  <c r="B299" i="2"/>
  <c r="D299" i="2" l="1"/>
  <c r="E299" i="2" s="1"/>
  <c r="B300" i="2"/>
  <c r="D300" i="2" l="1"/>
  <c r="E300" i="2" s="1"/>
  <c r="B301" i="2"/>
  <c r="D301" i="2" l="1"/>
  <c r="E301" i="2" s="1"/>
  <c r="B302" i="2"/>
  <c r="D302" i="2" l="1"/>
  <c r="E302" i="2" s="1"/>
  <c r="B303" i="2"/>
  <c r="D303" i="2" l="1"/>
  <c r="E303" i="2" s="1"/>
  <c r="B304" i="2"/>
  <c r="D304" i="2" l="1"/>
  <c r="E304" i="2" s="1"/>
  <c r="B305" i="2"/>
  <c r="D305" i="2" l="1"/>
  <c r="E305" i="2" s="1"/>
  <c r="B306" i="2"/>
  <c r="D306" i="2" l="1"/>
  <c r="E306" i="2" s="1"/>
  <c r="B307" i="2"/>
  <c r="D307" i="2" l="1"/>
  <c r="E307" i="2" s="1"/>
  <c r="B308" i="2"/>
  <c r="D308" i="2" l="1"/>
  <c r="E308" i="2" s="1"/>
  <c r="B309" i="2"/>
  <c r="D309" i="2" l="1"/>
  <c r="E309" i="2" s="1"/>
  <c r="B310" i="2"/>
  <c r="D310" i="2" l="1"/>
  <c r="E310" i="2" s="1"/>
  <c r="B311" i="2"/>
  <c r="D311" i="2" l="1"/>
  <c r="E311" i="2" s="1"/>
  <c r="B312" i="2"/>
  <c r="D312" i="2" l="1"/>
  <c r="E312" i="2" s="1"/>
  <c r="B313" i="2"/>
  <c r="D313" i="2" l="1"/>
  <c r="E313" i="2" s="1"/>
  <c r="B314" i="2"/>
  <c r="D314" i="2" l="1"/>
  <c r="E314" i="2" s="1"/>
  <c r="B315" i="2"/>
  <c r="D315" i="2" l="1"/>
  <c r="E315" i="2" s="1"/>
  <c r="B316" i="2"/>
  <c r="D316" i="2" l="1"/>
  <c r="E316" i="2" s="1"/>
  <c r="B317" i="2"/>
  <c r="D317" i="2" l="1"/>
  <c r="E317" i="2" s="1"/>
  <c r="B318" i="2"/>
  <c r="D318" i="2" l="1"/>
  <c r="E318" i="2" s="1"/>
  <c r="B319" i="2"/>
  <c r="D319" i="2" l="1"/>
  <c r="E319" i="2" s="1"/>
  <c r="B320" i="2"/>
  <c r="D320" i="2" l="1"/>
  <c r="E320" i="2" s="1"/>
  <c r="B321" i="2"/>
  <c r="D321" i="2" l="1"/>
  <c r="E321" i="2" s="1"/>
  <c r="B322" i="2"/>
  <c r="D322" i="2" l="1"/>
  <c r="E322" i="2" s="1"/>
  <c r="B323" i="2"/>
  <c r="D323" i="2" l="1"/>
  <c r="E323" i="2" s="1"/>
  <c r="B324" i="2"/>
  <c r="D324" i="2" l="1"/>
  <c r="E324" i="2" s="1"/>
  <c r="B325" i="2"/>
  <c r="D325" i="2" l="1"/>
  <c r="E325" i="2" s="1"/>
  <c r="B326" i="2"/>
  <c r="D326" i="2" l="1"/>
  <c r="E326" i="2" s="1"/>
  <c r="B327" i="2"/>
  <c r="D327" i="2" l="1"/>
  <c r="E327" i="2" s="1"/>
  <c r="B328" i="2" s="1"/>
  <c r="D328" i="2" l="1"/>
  <c r="E328" i="2" s="1"/>
  <c r="B329" i="2"/>
  <c r="D329" i="2" l="1"/>
  <c r="E329" i="2" s="1"/>
  <c r="B330" i="2"/>
  <c r="D330" i="2" l="1"/>
  <c r="E330" i="2" s="1"/>
  <c r="B331" i="2"/>
  <c r="D331" i="2" l="1"/>
  <c r="E331" i="2" s="1"/>
  <c r="B332" i="2"/>
  <c r="D332" i="2" l="1"/>
  <c r="E332" i="2" s="1"/>
  <c r="B333" i="2"/>
  <c r="D333" i="2" l="1"/>
  <c r="E333" i="2" s="1"/>
  <c r="B334" i="2"/>
  <c r="D334" i="2" l="1"/>
  <c r="E334" i="2" s="1"/>
  <c r="B335" i="2"/>
  <c r="D335" i="2" l="1"/>
  <c r="E335" i="2" s="1"/>
  <c r="B336" i="2"/>
  <c r="D336" i="2" l="1"/>
  <c r="E336" i="2" s="1"/>
  <c r="B337" i="2"/>
  <c r="D337" i="2" l="1"/>
  <c r="E337" i="2" s="1"/>
  <c r="B338" i="2"/>
  <c r="D338" i="2" l="1"/>
  <c r="E338" i="2" s="1"/>
  <c r="B339" i="2"/>
  <c r="D339" i="2" l="1"/>
  <c r="E339" i="2" s="1"/>
  <c r="B340" i="2"/>
  <c r="D340" i="2" l="1"/>
  <c r="E340" i="2" s="1"/>
  <c r="B341" i="2"/>
  <c r="D341" i="2" l="1"/>
  <c r="E341" i="2" s="1"/>
  <c r="B342" i="2"/>
  <c r="D342" i="2" l="1"/>
  <c r="E342" i="2" s="1"/>
  <c r="B343" i="2" s="1"/>
  <c r="D343" i="2" l="1"/>
  <c r="E343" i="2" s="1"/>
  <c r="B344" i="2"/>
  <c r="D344" i="2" l="1"/>
  <c r="E344" i="2" s="1"/>
  <c r="B345" i="2"/>
  <c r="D345" i="2" l="1"/>
  <c r="E345" i="2" s="1"/>
  <c r="B346" i="2"/>
  <c r="D346" i="2" l="1"/>
  <c r="E346" i="2" s="1"/>
  <c r="B347" i="2"/>
  <c r="D347" i="2" l="1"/>
  <c r="E347" i="2" s="1"/>
  <c r="B348" i="2"/>
  <c r="D348" i="2" l="1"/>
  <c r="E348" i="2" s="1"/>
  <c r="B349" i="2"/>
  <c r="D349" i="2" l="1"/>
  <c r="E349" i="2" s="1"/>
  <c r="B350" i="2"/>
  <c r="D350" i="2" l="1"/>
  <c r="E350" i="2" s="1"/>
  <c r="B351" i="2" s="1"/>
  <c r="D351" i="2" l="1"/>
  <c r="E351" i="2" s="1"/>
  <c r="B352" i="2"/>
  <c r="D352" i="2" l="1"/>
  <c r="E352" i="2" s="1"/>
  <c r="B353" i="2" s="1"/>
  <c r="D353" i="2" l="1"/>
  <c r="E353" i="2" s="1"/>
  <c r="B354" i="2"/>
  <c r="D354" i="2" l="1"/>
  <c r="E354" i="2" s="1"/>
  <c r="B355" i="2"/>
  <c r="D355" i="2" l="1"/>
  <c r="E355" i="2" s="1"/>
  <c r="B356" i="2"/>
  <c r="D356" i="2" l="1"/>
  <c r="E356" i="2" s="1"/>
  <c r="B357" i="2"/>
  <c r="D357" i="2" l="1"/>
  <c r="E357" i="2" s="1"/>
  <c r="B358" i="2"/>
  <c r="D358" i="2" l="1"/>
  <c r="E358" i="2" s="1"/>
  <c r="B359" i="2"/>
  <c r="D359" i="2" l="1"/>
  <c r="E359" i="2" s="1"/>
  <c r="B360" i="2"/>
  <c r="D360" i="2" l="1"/>
  <c r="E360" i="2" s="1"/>
  <c r="B361" i="2"/>
  <c r="D361" i="2" l="1"/>
  <c r="E361" i="2" s="1"/>
  <c r="B362" i="2"/>
  <c r="D362" i="2" l="1"/>
  <c r="E362" i="2" s="1"/>
  <c r="B363" i="2"/>
  <c r="D363" i="2" l="1"/>
  <c r="E363" i="2" s="1"/>
  <c r="B364" i="2"/>
  <c r="D364" i="2" l="1"/>
  <c r="E364" i="2" s="1"/>
  <c r="B365" i="2"/>
  <c r="D365" i="2" l="1"/>
  <c r="E365" i="2" s="1"/>
  <c r="B366" i="2"/>
  <c r="D366" i="2" l="1"/>
  <c r="E366" i="2" s="1"/>
  <c r="B367" i="2"/>
  <c r="D367" i="2" l="1"/>
  <c r="E367" i="2" s="1"/>
  <c r="B368" i="2"/>
  <c r="D368" i="2" l="1"/>
  <c r="E368" i="2" s="1"/>
  <c r="B369" i="2"/>
  <c r="D369" i="2" l="1"/>
  <c r="E369" i="2" s="1"/>
  <c r="B370" i="2"/>
  <c r="D370" i="2" l="1"/>
  <c r="E370" i="2" s="1"/>
  <c r="B37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<sst xmlns="http://schemas.openxmlformats.org/spreadsheetml/2006/main" count="13" uniqueCount="13">
  <si>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An investor seeks a fixed-rate 30-year mortgage loan to finance 80% of the purchase price of $1m for a residential building. Calculate the invesotr's monthly payment if the annual mortgage is 5.25%</t>
  </si>
  <si>
    <t>Annual mortgage</t>
  </si>
  <si>
    <t>Monthly payment</t>
  </si>
  <si>
    <t>Monthly mortgage</t>
  </si>
  <si>
    <t>Number of periods</t>
  </si>
  <si>
    <t>PV</t>
  </si>
  <si>
    <t>Period</t>
  </si>
  <si>
    <t>Principal at beginning of period</t>
  </si>
  <si>
    <t>Payment at end of period</t>
  </si>
  <si>
    <t>Interest payment</t>
  </si>
  <si>
    <t>Principal repayment</t>
  </si>
  <si>
    <t>Split payment into:</t>
  </si>
  <si>
    <t>Total payments made at the end of the 360th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</si>
</sst>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£&quot;#,##0.00;[Red]\-&quot;£&quot;#,##0.00"/>
    <numFmt numFmtId="164" formatCode="&quot;£&quot;#,##0.00"/>
    <numFmt numFmtId="166" formatCode="0.00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10" fontId="0" fillId="0" borderId="0" xfId="0" applyNumberFormat="1"/>
    <xf numFmtId="8" fontId="0" fillId="0" borderId="0" xfId="0" applyNumberFormat="1"/>
    <xf numFmtId="0" fontId="2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3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4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2A127-C460-4082-8531-C67307AE29BC}">
  <sheetPr codeName="Sheet1"/>
  <dimension ref="A1:I371"/>
  <sheetViews>
    <sheetView tabSelected="1" topLeftCell="A5" workbookViewId="0">
      <selection activeCell="G19" sqref="G19"/>
    </sheetView>
  </sheetViews>
  <sheetFormatPr defaultRowHeight="15" x14ac:dyDescent="0.25"/>
  <cols>
    <col min="1" max="1" width="17.42578125" customWidth="1"/>
    <col min="2" max="2" width="21.7109375" customWidth="1"/>
    <col min="3" max="3" width="19.5703125" customWidth="1"/>
    <col min="4" max="4" width="18.85546875" customWidth="1"/>
    <col min="5" max="5" width="18.42578125" customWidth="1"/>
    <col min="7" max="7" width="12.7109375" bestFit="1" customWidth="1"/>
    <col min="8" max="8" width="17.85546875" customWidth="1"/>
  </cols>
  <sheetData>
    <row r="1" spans="1:9" ht="45" customHeight="1" x14ac:dyDescent="0.25">
      <c r="A1" s="1" t="s">
        <v>0</v>
      </c>
      <c r="B1" s="2"/>
      <c r="C1" s="2"/>
      <c r="D1" s="2"/>
      <c r="E1" s="2"/>
      <c r="F1" s="2"/>
      <c r="G1" s="2"/>
    </row>
    <row r="2" spans="1:9" ht="15.75" customHeight="1" x14ac:dyDescent="0.25">
      <c r="A2" s="5"/>
      <c r="B2" s="6"/>
      <c r="C2" s="6"/>
      <c r="D2" s="6"/>
      <c r="E2" s="6"/>
      <c r="F2" s="6"/>
      <c r="G2" s="6"/>
    </row>
    <row r="3" spans="1:9" x14ac:dyDescent="0.25">
      <c r="A3" t="s">
        <v>5</v>
      </c>
      <c r="B3" s="7">
        <v>800000</v>
      </c>
    </row>
    <row r="4" spans="1:9" x14ac:dyDescent="0.25">
      <c r="A4" t="s">
        <v>1</v>
      </c>
      <c r="B4" s="3">
        <v>5.2499999999999998E-2</v>
      </c>
    </row>
    <row r="5" spans="1:9" x14ac:dyDescent="0.25">
      <c r="A5" t="s">
        <v>3</v>
      </c>
      <c r="B5">
        <f>B4/12</f>
        <v>4.3749999999999995E-3</v>
      </c>
    </row>
    <row r="6" spans="1:9" x14ac:dyDescent="0.25">
      <c r="A6" t="s">
        <v>4</v>
      </c>
      <c r="B6">
        <f>30*12</f>
        <v>360</v>
      </c>
      <c r="C6" t="str" cm="1">
        <f t="array" aca="1" ref="C6" ca="1">getformula(B6)</f>
        <v>&lt;-- =30*12</v>
      </c>
    </row>
    <row r="7" spans="1:9" x14ac:dyDescent="0.25">
      <c r="A7" t="s">
        <v>2</v>
      </c>
      <c r="B7" s="4">
        <f>PMT(B5,B6,-B3)</f>
        <v>4417.6296171351869</v>
      </c>
      <c r="C7" t="str" cm="1">
        <f t="array" aca="1" ref="C7" ca="1">getformula(B7)</f>
        <v>&lt;-- =PMT(B5,B6,-B3)</v>
      </c>
    </row>
    <row r="9" spans="1:9" x14ac:dyDescent="0.25">
      <c r="D9" s="8" t="s">
        <v>11</v>
      </c>
      <c r="E9" s="8"/>
    </row>
    <row r="10" spans="1:9" ht="45" x14ac:dyDescent="0.25">
      <c r="A10" s="10" t="s">
        <v>6</v>
      </c>
      <c r="B10" s="10" t="s">
        <v>7</v>
      </c>
      <c r="C10" s="10" t="s">
        <v>8</v>
      </c>
      <c r="D10" s="10" t="s">
        <v>9</v>
      </c>
      <c r="E10" s="10" t="s">
        <v>10</v>
      </c>
      <c r="F10" s="9"/>
    </row>
    <row r="11" spans="1:9" x14ac:dyDescent="0.25">
      <c r="A11">
        <v>1</v>
      </c>
      <c r="B11" s="7">
        <f>$B$3</f>
        <v>800000</v>
      </c>
      <c r="C11" s="4">
        <f>$B$7</f>
        <v>4417.6296171351869</v>
      </c>
      <c r="D11" s="4">
        <f>$B$5*B11</f>
        <v>3499.9999999999995</v>
      </c>
      <c r="E11" s="4">
        <f>C11-D11</f>
        <v>917.62961713518735</v>
      </c>
      <c r="G11" s="4">
        <f>FV(B5,B6,-B7)</f>
        <v>3851340.0480050789</v>
      </c>
      <c r="H11" t="str" cm="1">
        <f t="array" aca="1" ref="H11" ca="1">getformula(G11)</f>
        <v>&lt;-- =FV(B5,B6,-B7)</v>
      </c>
    </row>
    <row r="12" spans="1:9" x14ac:dyDescent="0.25">
      <c r="A12">
        <f>A11+1</f>
        <v>2</v>
      </c>
      <c r="B12" s="4">
        <f>B11-E11</f>
        <v>799082.37038286484</v>
      </c>
      <c r="C12" s="4">
        <f>$B$7</f>
        <v>4417.6296171351869</v>
      </c>
      <c r="D12" s="4">
        <f>$B$5*B12</f>
        <v>3495.9853704250331</v>
      </c>
      <c r="E12" s="4">
        <f>C12-D12</f>
        <v>921.64424671015377</v>
      </c>
      <c r="G12" s="4">
        <f>FV(B5,B6,,-B3)</f>
        <v>3851340.0480050417</v>
      </c>
      <c r="H12" t="str" cm="1">
        <f t="array" aca="1" ref="H12" ca="1">getformula(G12)</f>
        <v>&lt;-- =FV(B5,B6,,-B3)</v>
      </c>
    </row>
    <row r="13" spans="1:9" x14ac:dyDescent="0.25">
      <c r="A13">
        <f t="shared" ref="A13:A77" si="0">A12+1</f>
        <v>3</v>
      </c>
      <c r="B13" s="4">
        <f t="shared" ref="B13:B76" si="1">B12-E12</f>
        <v>798160.72613615473</v>
      </c>
      <c r="C13" s="4">
        <f t="shared" ref="C13:C76" si="2">$B$7</f>
        <v>4417.6296171351869</v>
      </c>
      <c r="D13" s="4">
        <f t="shared" ref="D13:D76" si="3">$B$5*B13</f>
        <v>3491.9531768456764</v>
      </c>
      <c r="E13" s="4">
        <f t="shared" ref="E13:E76" si="4">C13-D13</f>
        <v>925.67644028951054</v>
      </c>
      <c r="G13" s="4">
        <f>B7*B6</f>
        <v>1590346.6621686672</v>
      </c>
      <c r="H13" t="str" cm="1">
        <f t="array" aca="1" ref="H13" ca="1">getformula(G13)</f>
        <v>&lt;-- =B7*B6</v>
      </c>
      <c r="I13" t="s">
        <v>12</v>
      </c>
    </row>
    <row r="14" spans="1:9" x14ac:dyDescent="0.25">
      <c r="A14">
        <f t="shared" si="0"/>
        <v>4</v>
      </c>
      <c r="B14" s="4">
        <f t="shared" si="1"/>
        <v>797235.04969586525</v>
      </c>
      <c r="C14" s="4">
        <f t="shared" si="2"/>
        <v>4417.6296171351869</v>
      </c>
      <c r="D14" s="4">
        <f t="shared" si="3"/>
        <v>3487.9033424194099</v>
      </c>
      <c r="E14" s="4">
        <f t="shared" si="4"/>
        <v>929.72627471577698</v>
      </c>
      <c r="G14" s="4">
        <f>PV(B5,B6,-B7)</f>
        <v>800000.0000000078</v>
      </c>
      <c r="H14" t="str" cm="1">
        <f t="array" aca="1" ref="H14" ca="1">getformula(G14)</f>
        <v>&lt;-- =PV(B5,B6,-B7)</v>
      </c>
    </row>
    <row r="15" spans="1:9" x14ac:dyDescent="0.25">
      <c r="A15">
        <f t="shared" si="0"/>
        <v>5</v>
      </c>
      <c r="B15" s="4">
        <f t="shared" si="1"/>
        <v>796305.32342114951</v>
      </c>
      <c r="C15" s="4">
        <f t="shared" si="2"/>
        <v>4417.6296171351869</v>
      </c>
      <c r="D15" s="4">
        <f t="shared" si="3"/>
        <v>3483.8357899675289</v>
      </c>
      <c r="E15" s="4">
        <f t="shared" si="4"/>
        <v>933.79382716765804</v>
      </c>
    </row>
    <row r="16" spans="1:9" x14ac:dyDescent="0.25">
      <c r="A16">
        <f t="shared" si="0"/>
        <v>6</v>
      </c>
      <c r="B16" s="4">
        <f t="shared" si="1"/>
        <v>795371.5295939818</v>
      </c>
      <c r="C16" s="4">
        <f t="shared" si="2"/>
        <v>4417.6296171351869</v>
      </c>
      <c r="D16" s="4">
        <f t="shared" si="3"/>
        <v>3479.7504419736701</v>
      </c>
      <c r="E16" s="4">
        <f t="shared" si="4"/>
        <v>937.87917516151674</v>
      </c>
      <c r="I16" s="4"/>
    </row>
    <row r="17" spans="1:9" x14ac:dyDescent="0.25">
      <c r="A17">
        <f t="shared" si="0"/>
        <v>7</v>
      </c>
      <c r="B17" s="4">
        <f t="shared" si="1"/>
        <v>794433.65041882033</v>
      </c>
      <c r="C17" s="4">
        <f t="shared" si="2"/>
        <v>4417.6296171351869</v>
      </c>
      <c r="D17" s="4">
        <f t="shared" si="3"/>
        <v>3475.6472205823384</v>
      </c>
      <c r="E17" s="4">
        <f t="shared" si="4"/>
        <v>941.98239655284851</v>
      </c>
      <c r="I17" s="12"/>
    </row>
    <row r="18" spans="1:9" x14ac:dyDescent="0.25">
      <c r="A18">
        <f t="shared" si="0"/>
        <v>8</v>
      </c>
      <c r="B18" s="4">
        <f t="shared" si="1"/>
        <v>793491.66802226752</v>
      </c>
      <c r="C18" s="4">
        <f t="shared" si="2"/>
        <v>4417.6296171351869</v>
      </c>
      <c r="D18" s="4">
        <f t="shared" si="3"/>
        <v>3471.5260475974201</v>
      </c>
      <c r="E18" s="4">
        <f t="shared" si="4"/>
        <v>946.10356953776682</v>
      </c>
    </row>
    <row r="19" spans="1:9" x14ac:dyDescent="0.25">
      <c r="A19">
        <f t="shared" si="0"/>
        <v>9</v>
      </c>
      <c r="B19" s="4">
        <f t="shared" si="1"/>
        <v>792545.56445272977</v>
      </c>
      <c r="C19" s="4">
        <f t="shared" si="2"/>
        <v>4417.6296171351869</v>
      </c>
      <c r="D19" s="4">
        <f t="shared" si="3"/>
        <v>3467.3868444806922</v>
      </c>
      <c r="E19" s="4">
        <f t="shared" si="4"/>
        <v>950.24277265449473</v>
      </c>
    </row>
    <row r="20" spans="1:9" x14ac:dyDescent="0.25">
      <c r="A20">
        <f t="shared" si="0"/>
        <v>10</v>
      </c>
      <c r="B20" s="4">
        <f t="shared" si="1"/>
        <v>791595.32168007526</v>
      </c>
      <c r="C20" s="4">
        <f t="shared" si="2"/>
        <v>4417.6296171351869</v>
      </c>
      <c r="D20" s="4">
        <f t="shared" si="3"/>
        <v>3463.229532350329</v>
      </c>
      <c r="E20" s="4">
        <f t="shared" si="4"/>
        <v>954.40008478485788</v>
      </c>
    </row>
    <row r="21" spans="1:9" x14ac:dyDescent="0.25">
      <c r="A21">
        <f t="shared" si="0"/>
        <v>11</v>
      </c>
      <c r="B21" s="4">
        <f t="shared" si="1"/>
        <v>790640.92159529042</v>
      </c>
      <c r="C21" s="4">
        <f t="shared" si="2"/>
        <v>4417.6296171351869</v>
      </c>
      <c r="D21" s="4">
        <f t="shared" si="3"/>
        <v>3459.0540319793954</v>
      </c>
      <c r="E21" s="4">
        <f t="shared" si="4"/>
        <v>958.57558515579149</v>
      </c>
    </row>
    <row r="22" spans="1:9" x14ac:dyDescent="0.25">
      <c r="A22">
        <f t="shared" si="0"/>
        <v>12</v>
      </c>
      <c r="B22" s="4">
        <f t="shared" si="1"/>
        <v>789682.34601013467</v>
      </c>
      <c r="C22" s="4">
        <f t="shared" si="2"/>
        <v>4417.6296171351869</v>
      </c>
      <c r="D22" s="4">
        <f t="shared" si="3"/>
        <v>3454.8602637943386</v>
      </c>
      <c r="E22" s="4">
        <f t="shared" si="4"/>
        <v>962.76935334084828</v>
      </c>
    </row>
    <row r="23" spans="1:9" x14ac:dyDescent="0.25">
      <c r="A23">
        <f t="shared" si="0"/>
        <v>13</v>
      </c>
      <c r="B23" s="4">
        <f t="shared" si="1"/>
        <v>788719.57665679383</v>
      </c>
      <c r="C23" s="4">
        <f t="shared" si="2"/>
        <v>4417.6296171351869</v>
      </c>
      <c r="D23" s="4">
        <f t="shared" si="3"/>
        <v>3450.6481478734727</v>
      </c>
      <c r="E23" s="4">
        <f t="shared" si="4"/>
        <v>966.98146926171421</v>
      </c>
    </row>
    <row r="24" spans="1:9" x14ac:dyDescent="0.25">
      <c r="A24">
        <f t="shared" si="0"/>
        <v>14</v>
      </c>
      <c r="B24" s="4">
        <f t="shared" si="1"/>
        <v>787752.59518753213</v>
      </c>
      <c r="C24" s="4">
        <f t="shared" si="2"/>
        <v>4417.6296171351869</v>
      </c>
      <c r="D24" s="4">
        <f t="shared" si="3"/>
        <v>3446.4176039454528</v>
      </c>
      <c r="E24" s="4">
        <f t="shared" si="4"/>
        <v>971.21201318973408</v>
      </c>
    </row>
    <row r="25" spans="1:9" x14ac:dyDescent="0.25">
      <c r="A25">
        <f t="shared" si="0"/>
        <v>15</v>
      </c>
      <c r="B25" s="4">
        <f t="shared" si="1"/>
        <v>786781.38317434245</v>
      </c>
      <c r="C25" s="4">
        <f t="shared" si="2"/>
        <v>4417.6296171351869</v>
      </c>
      <c r="D25" s="4">
        <f t="shared" si="3"/>
        <v>3442.1685513877478</v>
      </c>
      <c r="E25" s="4">
        <f t="shared" si="4"/>
        <v>975.46106574743908</v>
      </c>
    </row>
    <row r="26" spans="1:9" x14ac:dyDescent="0.25">
      <c r="A26">
        <f t="shared" si="0"/>
        <v>16</v>
      </c>
      <c r="B26" s="4">
        <f t="shared" si="1"/>
        <v>785805.92210859503</v>
      </c>
      <c r="C26" s="4">
        <f t="shared" si="2"/>
        <v>4417.6296171351869</v>
      </c>
      <c r="D26" s="4">
        <f t="shared" si="3"/>
        <v>3437.9009092251031</v>
      </c>
      <c r="E26" s="4">
        <f t="shared" si="4"/>
        <v>979.72870791008381</v>
      </c>
    </row>
    <row r="27" spans="1:9" x14ac:dyDescent="0.25">
      <c r="A27">
        <f t="shared" si="0"/>
        <v>17</v>
      </c>
      <c r="B27" s="4">
        <f t="shared" si="1"/>
        <v>784826.19340068498</v>
      </c>
      <c r="C27" s="4">
        <f t="shared" si="2"/>
        <v>4417.6296171351869</v>
      </c>
      <c r="D27" s="4">
        <f t="shared" si="3"/>
        <v>3433.6145961279963</v>
      </c>
      <c r="E27" s="4">
        <f t="shared" si="4"/>
        <v>984.01502100719063</v>
      </c>
    </row>
    <row r="28" spans="1:9" x14ac:dyDescent="0.25">
      <c r="A28">
        <f t="shared" si="0"/>
        <v>18</v>
      </c>
      <c r="B28" s="4">
        <f t="shared" si="1"/>
        <v>783842.17837967782</v>
      </c>
      <c r="C28" s="4">
        <f t="shared" si="2"/>
        <v>4417.6296171351869</v>
      </c>
      <c r="D28" s="4">
        <f t="shared" si="3"/>
        <v>3429.3095304110902</v>
      </c>
      <c r="E28" s="4">
        <f t="shared" si="4"/>
        <v>988.32008672409665</v>
      </c>
    </row>
    <row r="29" spans="1:9" x14ac:dyDescent="0.25">
      <c r="A29">
        <f t="shared" si="0"/>
        <v>19</v>
      </c>
      <c r="B29" s="4">
        <f t="shared" si="1"/>
        <v>782853.85829295369</v>
      </c>
      <c r="C29" s="4">
        <f t="shared" si="2"/>
        <v>4417.6296171351869</v>
      </c>
      <c r="D29" s="4">
        <f t="shared" si="3"/>
        <v>3424.9856300316719</v>
      </c>
      <c r="E29" s="4">
        <f t="shared" si="4"/>
        <v>992.64398710351497</v>
      </c>
    </row>
    <row r="30" spans="1:9" x14ac:dyDescent="0.25">
      <c r="A30">
        <f t="shared" si="0"/>
        <v>20</v>
      </c>
      <c r="B30" s="4">
        <f t="shared" si="1"/>
        <v>781861.21430585021</v>
      </c>
      <c r="C30" s="4">
        <f t="shared" si="2"/>
        <v>4417.6296171351869</v>
      </c>
      <c r="D30" s="4">
        <f t="shared" si="3"/>
        <v>3420.6428125880943</v>
      </c>
      <c r="E30" s="4">
        <f t="shared" si="4"/>
        <v>996.98680454709256</v>
      </c>
    </row>
    <row r="31" spans="1:9" x14ac:dyDescent="0.25">
      <c r="A31">
        <f t="shared" si="0"/>
        <v>21</v>
      </c>
      <c r="B31" s="4">
        <f t="shared" si="1"/>
        <v>780864.22750130307</v>
      </c>
      <c r="C31" s="4">
        <f t="shared" si="2"/>
        <v>4417.6296171351869</v>
      </c>
      <c r="D31" s="4">
        <f t="shared" si="3"/>
        <v>3416.2809953182004</v>
      </c>
      <c r="E31" s="4">
        <f t="shared" si="4"/>
        <v>1001.3486218169865</v>
      </c>
    </row>
    <row r="32" spans="1:9" x14ac:dyDescent="0.25">
      <c r="A32">
        <f t="shared" si="0"/>
        <v>22</v>
      </c>
      <c r="B32" s="4">
        <f t="shared" si="1"/>
        <v>779862.87887948612</v>
      </c>
      <c r="C32" s="4">
        <f t="shared" si="2"/>
        <v>4417.6296171351869</v>
      </c>
      <c r="D32" s="4">
        <f t="shared" si="3"/>
        <v>3411.9000950977515</v>
      </c>
      <c r="E32" s="4">
        <f t="shared" si="4"/>
        <v>1005.7295220374353</v>
      </c>
    </row>
    <row r="33" spans="1:5" x14ac:dyDescent="0.25">
      <c r="A33">
        <f t="shared" si="0"/>
        <v>23</v>
      </c>
      <c r="B33" s="4">
        <f t="shared" si="1"/>
        <v>778857.14935744868</v>
      </c>
      <c r="C33" s="4">
        <f t="shared" si="2"/>
        <v>4417.6296171351869</v>
      </c>
      <c r="D33" s="4">
        <f t="shared" si="3"/>
        <v>3407.5000284388375</v>
      </c>
      <c r="E33" s="4">
        <f t="shared" si="4"/>
        <v>1010.1295886963494</v>
      </c>
    </row>
    <row r="34" spans="1:5" x14ac:dyDescent="0.25">
      <c r="A34">
        <f t="shared" si="0"/>
        <v>24</v>
      </c>
      <c r="B34" s="4">
        <f t="shared" si="1"/>
        <v>777847.01976875227</v>
      </c>
      <c r="C34" s="4">
        <f t="shared" si="2"/>
        <v>4417.6296171351869</v>
      </c>
      <c r="D34" s="4">
        <f t="shared" si="3"/>
        <v>3403.0807114882909</v>
      </c>
      <c r="E34" s="4">
        <f t="shared" si="4"/>
        <v>1014.5489056468959</v>
      </c>
    </row>
    <row r="35" spans="1:5" x14ac:dyDescent="0.25">
      <c r="A35">
        <f t="shared" si="0"/>
        <v>25</v>
      </c>
      <c r="B35" s="4">
        <f t="shared" si="1"/>
        <v>776832.47086310538</v>
      </c>
      <c r="C35" s="4">
        <f t="shared" si="2"/>
        <v>4417.6296171351869</v>
      </c>
      <c r="D35" s="4">
        <f t="shared" si="3"/>
        <v>3398.6420600260858</v>
      </c>
      <c r="E35" s="4">
        <f t="shared" si="4"/>
        <v>1018.9875571091011</v>
      </c>
    </row>
    <row r="36" spans="1:5" x14ac:dyDescent="0.25">
      <c r="A36">
        <f t="shared" si="0"/>
        <v>26</v>
      </c>
      <c r="B36" s="4">
        <f t="shared" si="1"/>
        <v>775813.48330599628</v>
      </c>
      <c r="C36" s="4">
        <f t="shared" si="2"/>
        <v>4417.6296171351869</v>
      </c>
      <c r="D36" s="4">
        <f t="shared" si="3"/>
        <v>3394.1839894637333</v>
      </c>
      <c r="E36" s="4">
        <f t="shared" si="4"/>
        <v>1023.4456276714536</v>
      </c>
    </row>
    <row r="37" spans="1:5" x14ac:dyDescent="0.25">
      <c r="A37">
        <f t="shared" si="0"/>
        <v>27</v>
      </c>
      <c r="B37" s="4">
        <f t="shared" si="1"/>
        <v>774790.03767832485</v>
      </c>
      <c r="C37" s="4">
        <f t="shared" si="2"/>
        <v>4417.6296171351869</v>
      </c>
      <c r="D37" s="4">
        <f t="shared" si="3"/>
        <v>3389.7064148426707</v>
      </c>
      <c r="E37" s="4">
        <f t="shared" si="4"/>
        <v>1027.9232022925162</v>
      </c>
    </row>
    <row r="38" spans="1:5" x14ac:dyDescent="0.25">
      <c r="A38">
        <f t="shared" si="0"/>
        <v>28</v>
      </c>
      <c r="B38" s="4">
        <f t="shared" si="1"/>
        <v>773762.11447603232</v>
      </c>
      <c r="C38" s="4">
        <f t="shared" si="2"/>
        <v>4417.6296171351869</v>
      </c>
      <c r="D38" s="4">
        <f t="shared" si="3"/>
        <v>3385.2092508326409</v>
      </c>
      <c r="E38" s="4">
        <f t="shared" si="4"/>
        <v>1032.420366302546</v>
      </c>
    </row>
    <row r="39" spans="1:5" x14ac:dyDescent="0.25">
      <c r="A39">
        <f t="shared" si="0"/>
        <v>29</v>
      </c>
      <c r="B39" s="4">
        <f t="shared" si="1"/>
        <v>772729.69410972972</v>
      </c>
      <c r="C39" s="4">
        <f t="shared" si="2"/>
        <v>4417.6296171351869</v>
      </c>
      <c r="D39" s="4">
        <f t="shared" si="3"/>
        <v>3380.6924117300673</v>
      </c>
      <c r="E39" s="4">
        <f t="shared" si="4"/>
        <v>1036.9372054051196</v>
      </c>
    </row>
    <row r="40" spans="1:5" x14ac:dyDescent="0.25">
      <c r="A40">
        <f t="shared" si="0"/>
        <v>30</v>
      </c>
      <c r="B40" s="4">
        <f t="shared" si="1"/>
        <v>771692.75690432463</v>
      </c>
      <c r="C40" s="4">
        <f t="shared" si="2"/>
        <v>4417.6296171351869</v>
      </c>
      <c r="D40" s="4">
        <f t="shared" si="3"/>
        <v>3376.15581145642</v>
      </c>
      <c r="E40" s="4">
        <f t="shared" si="4"/>
        <v>1041.4738056787669</v>
      </c>
    </row>
    <row r="41" spans="1:5" x14ac:dyDescent="0.25">
      <c r="A41">
        <f t="shared" si="0"/>
        <v>31</v>
      </c>
      <c r="B41" s="4">
        <f t="shared" si="1"/>
        <v>770651.28309864586</v>
      </c>
      <c r="C41" s="4">
        <f t="shared" si="2"/>
        <v>4417.6296171351869</v>
      </c>
      <c r="D41" s="4">
        <f t="shared" si="3"/>
        <v>3371.5993635565751</v>
      </c>
      <c r="E41" s="4">
        <f t="shared" si="4"/>
        <v>1046.0302535786118</v>
      </c>
    </row>
    <row r="42" spans="1:5" x14ac:dyDescent="0.25">
      <c r="A42">
        <f t="shared" si="0"/>
        <v>32</v>
      </c>
      <c r="B42" s="4">
        <f t="shared" si="1"/>
        <v>769605.2528450673</v>
      </c>
      <c r="C42" s="4">
        <f t="shared" si="2"/>
        <v>4417.6296171351869</v>
      </c>
      <c r="D42" s="4">
        <f t="shared" si="3"/>
        <v>3367.022981197169</v>
      </c>
      <c r="E42" s="4">
        <f t="shared" si="4"/>
        <v>1050.6066359380179</v>
      </c>
    </row>
    <row r="43" spans="1:5" x14ac:dyDescent="0.25">
      <c r="A43">
        <f t="shared" si="0"/>
        <v>33</v>
      </c>
      <c r="B43" s="4">
        <f t="shared" si="1"/>
        <v>768554.64620912925</v>
      </c>
      <c r="C43" s="4">
        <f t="shared" si="2"/>
        <v>4417.6296171351869</v>
      </c>
      <c r="D43" s="4">
        <f t="shared" si="3"/>
        <v>3362.4265771649402</v>
      </c>
      <c r="E43" s="4">
        <f t="shared" si="4"/>
        <v>1055.2030399702467</v>
      </c>
    </row>
    <row r="44" spans="1:5" x14ac:dyDescent="0.25">
      <c r="A44">
        <f t="shared" si="0"/>
        <v>34</v>
      </c>
      <c r="B44" s="4">
        <f t="shared" si="1"/>
        <v>767499.443169159</v>
      </c>
      <c r="C44" s="4">
        <f t="shared" si="2"/>
        <v>4417.6296171351869</v>
      </c>
      <c r="D44" s="4">
        <f t="shared" si="3"/>
        <v>3357.8100638650703</v>
      </c>
      <c r="E44" s="4">
        <f t="shared" si="4"/>
        <v>1059.8195532701166</v>
      </c>
    </row>
    <row r="45" spans="1:5" x14ac:dyDescent="0.25">
      <c r="A45">
        <f t="shared" si="0"/>
        <v>35</v>
      </c>
      <c r="B45" s="4">
        <f t="shared" si="1"/>
        <v>766439.62361588888</v>
      </c>
      <c r="C45" s="4">
        <f t="shared" si="2"/>
        <v>4417.6296171351869</v>
      </c>
      <c r="D45" s="4">
        <f t="shared" si="3"/>
        <v>3353.1733533195134</v>
      </c>
      <c r="E45" s="4">
        <f t="shared" si="4"/>
        <v>1064.4562638156735</v>
      </c>
    </row>
    <row r="46" spans="1:5" x14ac:dyDescent="0.25">
      <c r="A46">
        <f t="shared" si="0"/>
        <v>36</v>
      </c>
      <c r="B46" s="4">
        <f t="shared" si="1"/>
        <v>765375.16735207324</v>
      </c>
      <c r="C46" s="4">
        <f t="shared" si="2"/>
        <v>4417.6296171351869</v>
      </c>
      <c r="D46" s="4">
        <f t="shared" si="3"/>
        <v>3348.5163571653202</v>
      </c>
      <c r="E46" s="4">
        <f t="shared" si="4"/>
        <v>1069.1132599698667</v>
      </c>
    </row>
    <row r="47" spans="1:5" x14ac:dyDescent="0.25">
      <c r="A47">
        <f t="shared" si="0"/>
        <v>37</v>
      </c>
      <c r="B47" s="4">
        <f t="shared" si="1"/>
        <v>764306.05409210338</v>
      </c>
      <c r="C47" s="4">
        <f t="shared" si="2"/>
        <v>4417.6296171351869</v>
      </c>
      <c r="D47" s="4">
        <f t="shared" si="3"/>
        <v>3343.8389866529519</v>
      </c>
      <c r="E47" s="4">
        <f t="shared" si="4"/>
        <v>1073.790630482235</v>
      </c>
    </row>
    <row r="48" spans="1:5" x14ac:dyDescent="0.25">
      <c r="A48">
        <f t="shared" si="0"/>
        <v>38</v>
      </c>
      <c r="B48" s="4">
        <f t="shared" si="1"/>
        <v>763232.26346162113</v>
      </c>
      <c r="C48" s="4">
        <f t="shared" si="2"/>
        <v>4417.6296171351869</v>
      </c>
      <c r="D48" s="4">
        <f t="shared" si="3"/>
        <v>3339.1411526445922</v>
      </c>
      <c r="E48" s="4">
        <f t="shared" si="4"/>
        <v>1078.4884644905947</v>
      </c>
    </row>
    <row r="49" spans="1:5" x14ac:dyDescent="0.25">
      <c r="A49">
        <f t="shared" si="0"/>
        <v>39</v>
      </c>
      <c r="B49" s="4">
        <f t="shared" si="1"/>
        <v>762153.7749971305</v>
      </c>
      <c r="C49" s="4">
        <f t="shared" si="2"/>
        <v>4417.6296171351869</v>
      </c>
      <c r="D49" s="4">
        <f t="shared" si="3"/>
        <v>3334.4227656124458</v>
      </c>
      <c r="E49" s="4">
        <f t="shared" si="4"/>
        <v>1083.2068515227411</v>
      </c>
    </row>
    <row r="50" spans="1:5" x14ac:dyDescent="0.25">
      <c r="A50">
        <f t="shared" si="0"/>
        <v>40</v>
      </c>
      <c r="B50" s="4">
        <f t="shared" si="1"/>
        <v>761070.56814560771</v>
      </c>
      <c r="C50" s="4">
        <f t="shared" si="2"/>
        <v>4417.6296171351869</v>
      </c>
      <c r="D50" s="4">
        <f t="shared" si="3"/>
        <v>3329.6837356370334</v>
      </c>
      <c r="E50" s="4">
        <f t="shared" si="4"/>
        <v>1087.9458814981535</v>
      </c>
    </row>
    <row r="51" spans="1:5" x14ac:dyDescent="0.25">
      <c r="A51">
        <f t="shared" si="0"/>
        <v>41</v>
      </c>
      <c r="B51" s="4">
        <f t="shared" si="1"/>
        <v>759982.62226410955</v>
      </c>
      <c r="C51" s="4">
        <f t="shared" si="2"/>
        <v>4417.6296171351869</v>
      </c>
      <c r="D51" s="4">
        <f t="shared" si="3"/>
        <v>3324.9239724054792</v>
      </c>
      <c r="E51" s="4">
        <f t="shared" si="4"/>
        <v>1092.7056447297077</v>
      </c>
    </row>
    <row r="52" spans="1:5" x14ac:dyDescent="0.25">
      <c r="A52">
        <f t="shared" si="0"/>
        <v>42</v>
      </c>
      <c r="B52" s="4">
        <f t="shared" si="1"/>
        <v>758889.91661937989</v>
      </c>
      <c r="C52" s="4">
        <f t="shared" si="2"/>
        <v>4417.6296171351869</v>
      </c>
      <c r="D52" s="4">
        <f t="shared" si="3"/>
        <v>3320.1433852097866</v>
      </c>
      <c r="E52" s="4">
        <f t="shared" si="4"/>
        <v>1097.4862319254003</v>
      </c>
    </row>
    <row r="53" spans="1:5" x14ac:dyDescent="0.25">
      <c r="A53">
        <f t="shared" si="0"/>
        <v>43</v>
      </c>
      <c r="B53" s="4">
        <f t="shared" si="1"/>
        <v>757792.43038745446</v>
      </c>
      <c r="C53" s="4">
        <f t="shared" si="2"/>
        <v>4417.6296171351869</v>
      </c>
      <c r="D53" s="4">
        <f t="shared" si="3"/>
        <v>3315.341882945113</v>
      </c>
      <c r="E53" s="4">
        <f t="shared" si="4"/>
        <v>1102.2877341900739</v>
      </c>
    </row>
    <row r="54" spans="1:5" x14ac:dyDescent="0.25">
      <c r="A54">
        <f t="shared" si="0"/>
        <v>44</v>
      </c>
      <c r="B54" s="4">
        <f t="shared" si="1"/>
        <v>756690.14265326434</v>
      </c>
      <c r="C54" s="4">
        <f t="shared" si="2"/>
        <v>4417.6296171351869</v>
      </c>
      <c r="D54" s="4">
        <f t="shared" si="3"/>
        <v>3310.5193741080311</v>
      </c>
      <c r="E54" s="4">
        <f t="shared" si="4"/>
        <v>1107.1102430271558</v>
      </c>
    </row>
    <row r="55" spans="1:5" x14ac:dyDescent="0.25">
      <c r="A55">
        <f t="shared" si="0"/>
        <v>45</v>
      </c>
      <c r="B55" s="4">
        <f t="shared" si="1"/>
        <v>755583.03241023724</v>
      </c>
      <c r="C55" s="4">
        <f t="shared" si="2"/>
        <v>4417.6296171351869</v>
      </c>
      <c r="D55" s="4">
        <f t="shared" si="3"/>
        <v>3305.6757667947877</v>
      </c>
      <c r="E55" s="4">
        <f t="shared" si="4"/>
        <v>1111.9538503403992</v>
      </c>
    </row>
    <row r="56" spans="1:5" x14ac:dyDescent="0.25">
      <c r="A56">
        <f t="shared" si="0"/>
        <v>46</v>
      </c>
      <c r="B56" s="4">
        <f t="shared" si="1"/>
        <v>754471.07855989679</v>
      </c>
      <c r="C56" s="4">
        <f t="shared" si="2"/>
        <v>4417.6296171351869</v>
      </c>
      <c r="D56" s="4">
        <f t="shared" si="3"/>
        <v>3300.8109686995481</v>
      </c>
      <c r="E56" s="4">
        <f t="shared" si="4"/>
        <v>1116.8186484356388</v>
      </c>
    </row>
    <row r="57" spans="1:5" x14ac:dyDescent="0.25">
      <c r="A57">
        <f t="shared" si="0"/>
        <v>47</v>
      </c>
      <c r="B57" s="4">
        <f t="shared" si="1"/>
        <v>753354.25991146115</v>
      </c>
      <c r="C57" s="4">
        <f t="shared" si="2"/>
        <v>4417.6296171351869</v>
      </c>
      <c r="D57" s="4">
        <f t="shared" si="3"/>
        <v>3295.9248871126424</v>
      </c>
      <c r="E57" s="4">
        <f t="shared" si="4"/>
        <v>1121.7047300225445</v>
      </c>
    </row>
    <row r="58" spans="1:5" x14ac:dyDescent="0.25">
      <c r="A58">
        <f t="shared" si="0"/>
        <v>48</v>
      </c>
      <c r="B58" s="4">
        <f t="shared" si="1"/>
        <v>752232.55518143857</v>
      </c>
      <c r="C58" s="4">
        <f t="shared" si="2"/>
        <v>4417.6296171351869</v>
      </c>
      <c r="D58" s="4">
        <f t="shared" si="3"/>
        <v>3291.0174289187935</v>
      </c>
      <c r="E58" s="4">
        <f t="shared" si="4"/>
        <v>1126.6121882163934</v>
      </c>
    </row>
    <row r="59" spans="1:5" x14ac:dyDescent="0.25">
      <c r="A59">
        <f t="shared" si="0"/>
        <v>49</v>
      </c>
      <c r="B59" s="4">
        <f t="shared" si="1"/>
        <v>751105.94299322215</v>
      </c>
      <c r="C59" s="4">
        <f t="shared" si="2"/>
        <v>4417.6296171351869</v>
      </c>
      <c r="D59" s="4">
        <f t="shared" si="3"/>
        <v>3286.0885005953464</v>
      </c>
      <c r="E59" s="4">
        <f t="shared" si="4"/>
        <v>1131.5411165398405</v>
      </c>
    </row>
    <row r="60" spans="1:5" x14ac:dyDescent="0.25">
      <c r="A60">
        <f t="shared" si="0"/>
        <v>50</v>
      </c>
      <c r="B60" s="4">
        <f t="shared" si="1"/>
        <v>749974.4018766823</v>
      </c>
      <c r="C60" s="4">
        <f t="shared" si="2"/>
        <v>4417.6296171351869</v>
      </c>
      <c r="D60" s="4">
        <f t="shared" si="3"/>
        <v>3281.1380082104847</v>
      </c>
      <c r="E60" s="4">
        <f t="shared" si="4"/>
        <v>1136.4916089247022</v>
      </c>
    </row>
    <row r="61" spans="1:5" x14ac:dyDescent="0.25">
      <c r="A61">
        <f t="shared" si="0"/>
        <v>51</v>
      </c>
      <c r="B61" s="4">
        <f t="shared" si="1"/>
        <v>748837.9102677576</v>
      </c>
      <c r="C61" s="4">
        <f t="shared" si="2"/>
        <v>4417.6296171351869</v>
      </c>
      <c r="D61" s="4">
        <f t="shared" si="3"/>
        <v>3276.1658574214393</v>
      </c>
      <c r="E61" s="4">
        <f t="shared" si="4"/>
        <v>1141.4637597137475</v>
      </c>
    </row>
    <row r="62" spans="1:5" x14ac:dyDescent="0.25">
      <c r="A62">
        <f t="shared" si="0"/>
        <v>52</v>
      </c>
      <c r="B62" s="4">
        <f t="shared" si="1"/>
        <v>747696.44650804391</v>
      </c>
      <c r="C62" s="4">
        <f t="shared" si="2"/>
        <v>4417.6296171351869</v>
      </c>
      <c r="D62" s="4">
        <f t="shared" si="3"/>
        <v>3271.1719534726917</v>
      </c>
      <c r="E62" s="4">
        <f t="shared" si="4"/>
        <v>1146.4576636624952</v>
      </c>
    </row>
    <row r="63" spans="1:5" x14ac:dyDescent="0.25">
      <c r="A63">
        <f t="shared" si="0"/>
        <v>53</v>
      </c>
      <c r="B63" s="4">
        <f t="shared" si="1"/>
        <v>746549.98884438141</v>
      </c>
      <c r="C63" s="4">
        <f t="shared" si="2"/>
        <v>4417.6296171351869</v>
      </c>
      <c r="D63" s="4">
        <f t="shared" si="3"/>
        <v>3266.1562011941683</v>
      </c>
      <c r="E63" s="4">
        <f t="shared" si="4"/>
        <v>1151.4734159410186</v>
      </c>
    </row>
    <row r="64" spans="1:5" x14ac:dyDescent="0.25">
      <c r="A64">
        <f t="shared" si="0"/>
        <v>54</v>
      </c>
      <c r="B64" s="4">
        <f t="shared" si="1"/>
        <v>745398.51542844041</v>
      </c>
      <c r="C64" s="4">
        <f t="shared" si="2"/>
        <v>4417.6296171351869</v>
      </c>
      <c r="D64" s="4">
        <f t="shared" si="3"/>
        <v>3261.1185049994265</v>
      </c>
      <c r="E64" s="4">
        <f t="shared" si="4"/>
        <v>1156.5111121357604</v>
      </c>
    </row>
    <row r="65" spans="1:5" x14ac:dyDescent="0.25">
      <c r="A65">
        <f t="shared" si="0"/>
        <v>55</v>
      </c>
      <c r="B65" s="4">
        <f t="shared" si="1"/>
        <v>744242.00431630469</v>
      </c>
      <c r="C65" s="4">
        <f t="shared" si="2"/>
        <v>4417.6296171351869</v>
      </c>
      <c r="D65" s="4">
        <f t="shared" si="3"/>
        <v>3256.0587688838327</v>
      </c>
      <c r="E65" s="4">
        <f t="shared" si="4"/>
        <v>1161.5708482513542</v>
      </c>
    </row>
    <row r="66" spans="1:5" x14ac:dyDescent="0.25">
      <c r="A66">
        <f t="shared" si="0"/>
        <v>56</v>
      </c>
      <c r="B66" s="4">
        <f t="shared" si="1"/>
        <v>743080.43346805335</v>
      </c>
      <c r="C66" s="4">
        <f t="shared" si="2"/>
        <v>4417.6296171351869</v>
      </c>
      <c r="D66" s="4">
        <f t="shared" si="3"/>
        <v>3250.9768964227333</v>
      </c>
      <c r="E66" s="4">
        <f t="shared" si="4"/>
        <v>1166.6527207124536</v>
      </c>
    </row>
    <row r="67" spans="1:5" x14ac:dyDescent="0.25">
      <c r="A67">
        <f t="shared" si="0"/>
        <v>57</v>
      </c>
      <c r="B67" s="4">
        <f t="shared" si="1"/>
        <v>741913.78074734088</v>
      </c>
      <c r="C67" s="4">
        <f t="shared" si="2"/>
        <v>4417.6296171351869</v>
      </c>
      <c r="D67" s="4">
        <f t="shared" si="3"/>
        <v>3245.8727907696161</v>
      </c>
      <c r="E67" s="4">
        <f t="shared" si="4"/>
        <v>1171.7568263655708</v>
      </c>
    </row>
    <row r="68" spans="1:5" x14ac:dyDescent="0.25">
      <c r="A68">
        <f t="shared" si="0"/>
        <v>58</v>
      </c>
      <c r="B68" s="4">
        <f t="shared" si="1"/>
        <v>740742.02392097528</v>
      </c>
      <c r="C68" s="4">
        <f t="shared" si="2"/>
        <v>4417.6296171351869</v>
      </c>
      <c r="D68" s="4">
        <f t="shared" si="3"/>
        <v>3240.7463546542667</v>
      </c>
      <c r="E68" s="4">
        <f t="shared" si="4"/>
        <v>1176.8832624809202</v>
      </c>
    </row>
    <row r="69" spans="1:5" x14ac:dyDescent="0.25">
      <c r="A69">
        <f t="shared" si="0"/>
        <v>59</v>
      </c>
      <c r="B69" s="4">
        <f t="shared" si="1"/>
        <v>739565.14065849432</v>
      </c>
      <c r="C69" s="4">
        <f t="shared" si="2"/>
        <v>4417.6296171351869</v>
      </c>
      <c r="D69" s="4">
        <f t="shared" si="3"/>
        <v>3235.5974903809124</v>
      </c>
      <c r="E69" s="4">
        <f t="shared" si="4"/>
        <v>1182.0321267542745</v>
      </c>
    </row>
    <row r="70" spans="1:5" x14ac:dyDescent="0.25">
      <c r="A70">
        <f t="shared" si="0"/>
        <v>60</v>
      </c>
      <c r="B70" s="4">
        <f t="shared" si="1"/>
        <v>738383.10853174003</v>
      </c>
      <c r="C70" s="4">
        <f t="shared" si="2"/>
        <v>4417.6296171351869</v>
      </c>
      <c r="D70" s="4">
        <f t="shared" si="3"/>
        <v>3230.4260998263621</v>
      </c>
      <c r="E70" s="4">
        <f t="shared" si="4"/>
        <v>1187.2035173088248</v>
      </c>
    </row>
    <row r="71" spans="1:5" x14ac:dyDescent="0.25">
      <c r="A71">
        <f t="shared" si="0"/>
        <v>61</v>
      </c>
      <c r="B71" s="4">
        <f t="shared" si="1"/>
        <v>737195.90501443122</v>
      </c>
      <c r="C71" s="4">
        <f t="shared" si="2"/>
        <v>4417.6296171351869</v>
      </c>
      <c r="D71" s="4">
        <f t="shared" si="3"/>
        <v>3225.2320844381361</v>
      </c>
      <c r="E71" s="4">
        <f t="shared" si="4"/>
        <v>1192.3975326970508</v>
      </c>
    </row>
    <row r="72" spans="1:5" x14ac:dyDescent="0.25">
      <c r="A72">
        <f t="shared" si="0"/>
        <v>62</v>
      </c>
      <c r="B72" s="4">
        <f t="shared" si="1"/>
        <v>736003.50748173415</v>
      </c>
      <c r="C72" s="4">
        <f t="shared" si="2"/>
        <v>4417.6296171351869</v>
      </c>
      <c r="D72" s="4">
        <f t="shared" si="3"/>
        <v>3220.0153452325867</v>
      </c>
      <c r="E72" s="4">
        <f t="shared" si="4"/>
        <v>1197.6142719026002</v>
      </c>
    </row>
    <row r="73" spans="1:5" x14ac:dyDescent="0.25">
      <c r="A73">
        <f t="shared" si="0"/>
        <v>63</v>
      </c>
      <c r="B73" s="4">
        <f t="shared" si="1"/>
        <v>734805.89320983156</v>
      </c>
      <c r="C73" s="4">
        <f t="shared" si="2"/>
        <v>4417.6296171351869</v>
      </c>
      <c r="D73" s="4">
        <f t="shared" si="3"/>
        <v>3214.7757827930127</v>
      </c>
      <c r="E73" s="4">
        <f t="shared" si="4"/>
        <v>1202.8538343421742</v>
      </c>
    </row>
    <row r="74" spans="1:5" x14ac:dyDescent="0.25">
      <c r="A74">
        <f t="shared" si="0"/>
        <v>64</v>
      </c>
      <c r="B74" s="4">
        <f t="shared" si="1"/>
        <v>733603.03937548934</v>
      </c>
      <c r="C74" s="4">
        <f t="shared" si="2"/>
        <v>4417.6296171351869</v>
      </c>
      <c r="D74" s="4">
        <f t="shared" si="3"/>
        <v>3209.5132972677657</v>
      </c>
      <c r="E74" s="4">
        <f t="shared" si="4"/>
        <v>1208.1163198674212</v>
      </c>
    </row>
    <row r="75" spans="1:5" x14ac:dyDescent="0.25">
      <c r="A75">
        <f t="shared" si="0"/>
        <v>65</v>
      </c>
      <c r="B75" s="4">
        <f t="shared" si="1"/>
        <v>732394.92305562191</v>
      </c>
      <c r="C75" s="4">
        <f t="shared" si="2"/>
        <v>4417.6296171351869</v>
      </c>
      <c r="D75" s="4">
        <f t="shared" si="3"/>
        <v>3204.2277883683455</v>
      </c>
      <c r="E75" s="4">
        <f t="shared" si="4"/>
        <v>1213.4018287668414</v>
      </c>
    </row>
    <row r="76" spans="1:5" x14ac:dyDescent="0.25">
      <c r="A76">
        <f t="shared" si="0"/>
        <v>66</v>
      </c>
      <c r="B76" s="4">
        <f t="shared" si="1"/>
        <v>731181.52122685511</v>
      </c>
      <c r="C76" s="4">
        <f t="shared" si="2"/>
        <v>4417.6296171351869</v>
      </c>
      <c r="D76" s="4">
        <f t="shared" si="3"/>
        <v>3198.9191553674909</v>
      </c>
      <c r="E76" s="4">
        <f t="shared" si="4"/>
        <v>1218.710461767696</v>
      </c>
    </row>
    <row r="77" spans="1:5" x14ac:dyDescent="0.25">
      <c r="A77">
        <f t="shared" si="0"/>
        <v>67</v>
      </c>
      <c r="B77" s="4">
        <f t="shared" ref="B77:B140" si="5">B76-E76</f>
        <v>729962.81076508737</v>
      </c>
      <c r="C77" s="4">
        <f t="shared" ref="C77:C140" si="6">$B$7</f>
        <v>4417.6296171351869</v>
      </c>
      <c r="D77" s="4">
        <f t="shared" ref="D77:D140" si="7">$B$5*B77</f>
        <v>3193.5872970972569</v>
      </c>
      <c r="E77" s="4">
        <f t="shared" ref="E77:E140" si="8">C77-D77</f>
        <v>1224.04232003793</v>
      </c>
    </row>
    <row r="78" spans="1:5" x14ac:dyDescent="0.25">
      <c r="A78">
        <f t="shared" ref="A78:A141" si="9">A77+1</f>
        <v>68</v>
      </c>
      <c r="B78" s="4">
        <f t="shared" si="5"/>
        <v>728738.76844504941</v>
      </c>
      <c r="C78" s="4">
        <f t="shared" si="6"/>
        <v>4417.6296171351869</v>
      </c>
      <c r="D78" s="4">
        <f t="shared" si="7"/>
        <v>3188.2321119470907</v>
      </c>
      <c r="E78" s="4">
        <f t="shared" si="8"/>
        <v>1229.3975051880961</v>
      </c>
    </row>
    <row r="79" spans="1:5" x14ac:dyDescent="0.25">
      <c r="A79">
        <f t="shared" si="9"/>
        <v>69</v>
      </c>
      <c r="B79" s="4">
        <f t="shared" si="5"/>
        <v>727509.37093986128</v>
      </c>
      <c r="C79" s="4">
        <f t="shared" si="6"/>
        <v>4417.6296171351869</v>
      </c>
      <c r="D79" s="4">
        <f t="shared" si="7"/>
        <v>3182.8534978618927</v>
      </c>
      <c r="E79" s="4">
        <f t="shared" si="8"/>
        <v>1234.7761192732942</v>
      </c>
    </row>
    <row r="80" spans="1:5" x14ac:dyDescent="0.25">
      <c r="A80">
        <f t="shared" si="9"/>
        <v>70</v>
      </c>
      <c r="B80" s="4">
        <f t="shared" si="5"/>
        <v>726274.59482058801</v>
      </c>
      <c r="C80" s="4">
        <f t="shared" si="6"/>
        <v>4417.6296171351869</v>
      </c>
      <c r="D80" s="4">
        <f t="shared" si="7"/>
        <v>3177.4513523400724</v>
      </c>
      <c r="E80" s="4">
        <f t="shared" si="8"/>
        <v>1240.1782647951145</v>
      </c>
    </row>
    <row r="81" spans="1:5" x14ac:dyDescent="0.25">
      <c r="A81">
        <f t="shared" si="9"/>
        <v>71</v>
      </c>
      <c r="B81" s="4">
        <f t="shared" si="5"/>
        <v>725034.41655579291</v>
      </c>
      <c r="C81" s="4">
        <f t="shared" si="6"/>
        <v>4417.6296171351869</v>
      </c>
      <c r="D81" s="4">
        <f t="shared" si="7"/>
        <v>3172.0255724315934</v>
      </c>
      <c r="E81" s="4">
        <f t="shared" si="8"/>
        <v>1245.6040447035934</v>
      </c>
    </row>
    <row r="82" spans="1:5" x14ac:dyDescent="0.25">
      <c r="A82">
        <f t="shared" si="9"/>
        <v>72</v>
      </c>
      <c r="B82" s="4">
        <f t="shared" si="5"/>
        <v>723788.81251108926</v>
      </c>
      <c r="C82" s="4">
        <f t="shared" si="6"/>
        <v>4417.6296171351869</v>
      </c>
      <c r="D82" s="4">
        <f t="shared" si="7"/>
        <v>3166.5760547360151</v>
      </c>
      <c r="E82" s="4">
        <f t="shared" si="8"/>
        <v>1251.0535623991718</v>
      </c>
    </row>
    <row r="83" spans="1:5" x14ac:dyDescent="0.25">
      <c r="A83">
        <f t="shared" si="9"/>
        <v>73</v>
      </c>
      <c r="B83" s="4">
        <f t="shared" si="5"/>
        <v>722537.75894869014</v>
      </c>
      <c r="C83" s="4">
        <f t="shared" si="6"/>
        <v>4417.6296171351869</v>
      </c>
      <c r="D83" s="4">
        <f t="shared" si="7"/>
        <v>3161.1026954005192</v>
      </c>
      <c r="E83" s="4">
        <f t="shared" si="8"/>
        <v>1256.5269217346677</v>
      </c>
    </row>
    <row r="84" spans="1:5" x14ac:dyDescent="0.25">
      <c r="A84">
        <f t="shared" si="9"/>
        <v>74</v>
      </c>
      <c r="B84" s="4">
        <f t="shared" si="5"/>
        <v>721281.23202695546</v>
      </c>
      <c r="C84" s="4">
        <f t="shared" si="6"/>
        <v>4417.6296171351869</v>
      </c>
      <c r="D84" s="4">
        <f t="shared" si="7"/>
        <v>3155.6053901179298</v>
      </c>
      <c r="E84" s="4">
        <f t="shared" si="8"/>
        <v>1262.0242270172571</v>
      </c>
    </row>
    <row r="85" spans="1:5" x14ac:dyDescent="0.25">
      <c r="A85">
        <f t="shared" si="9"/>
        <v>75</v>
      </c>
      <c r="B85" s="4">
        <f t="shared" si="5"/>
        <v>720019.20779993816</v>
      </c>
      <c r="C85" s="4">
        <f t="shared" si="6"/>
        <v>4417.6296171351869</v>
      </c>
      <c r="D85" s="4">
        <f t="shared" si="7"/>
        <v>3150.084034124729</v>
      </c>
      <c r="E85" s="4">
        <f t="shared" si="8"/>
        <v>1267.5455830104579</v>
      </c>
    </row>
    <row r="86" spans="1:5" x14ac:dyDescent="0.25">
      <c r="A86">
        <f t="shared" si="9"/>
        <v>76</v>
      </c>
      <c r="B86" s="4">
        <f t="shared" si="5"/>
        <v>718751.66221692774</v>
      </c>
      <c r="C86" s="4">
        <f t="shared" si="6"/>
        <v>4417.6296171351869</v>
      </c>
      <c r="D86" s="4">
        <f t="shared" si="7"/>
        <v>3144.5385221990587</v>
      </c>
      <c r="E86" s="4">
        <f t="shared" si="8"/>
        <v>1273.0910949361282</v>
      </c>
    </row>
    <row r="87" spans="1:5" x14ac:dyDescent="0.25">
      <c r="A87">
        <f t="shared" si="9"/>
        <v>77</v>
      </c>
      <c r="B87" s="4">
        <f t="shared" si="5"/>
        <v>717478.57112199161</v>
      </c>
      <c r="C87" s="4">
        <f t="shared" si="6"/>
        <v>4417.6296171351869</v>
      </c>
      <c r="D87" s="4">
        <f t="shared" si="7"/>
        <v>3138.9687486587131</v>
      </c>
      <c r="E87" s="4">
        <f t="shared" si="8"/>
        <v>1278.6608684764738</v>
      </c>
    </row>
    <row r="88" spans="1:5" x14ac:dyDescent="0.25">
      <c r="A88">
        <f t="shared" si="9"/>
        <v>78</v>
      </c>
      <c r="B88" s="4">
        <f t="shared" si="5"/>
        <v>716199.91025351512</v>
      </c>
      <c r="C88" s="4">
        <f t="shared" si="6"/>
        <v>4417.6296171351869</v>
      </c>
      <c r="D88" s="4">
        <f t="shared" si="7"/>
        <v>3133.3746073591283</v>
      </c>
      <c r="E88" s="4">
        <f t="shared" si="8"/>
        <v>1284.2550097760586</v>
      </c>
    </row>
    <row r="89" spans="1:5" x14ac:dyDescent="0.25">
      <c r="A89">
        <f t="shared" si="9"/>
        <v>79</v>
      </c>
      <c r="B89" s="4">
        <f t="shared" si="5"/>
        <v>714915.65524373902</v>
      </c>
      <c r="C89" s="4">
        <f t="shared" si="6"/>
        <v>4417.6296171351869</v>
      </c>
      <c r="D89" s="4">
        <f t="shared" si="7"/>
        <v>3127.7559916913578</v>
      </c>
      <c r="E89" s="4">
        <f t="shared" si="8"/>
        <v>1289.873625443829</v>
      </c>
    </row>
    <row r="90" spans="1:5" x14ac:dyDescent="0.25">
      <c r="A90">
        <f t="shared" si="9"/>
        <v>80</v>
      </c>
      <c r="B90" s="4">
        <f t="shared" si="5"/>
        <v>713625.78161829524</v>
      </c>
      <c r="C90" s="4">
        <f t="shared" si="6"/>
        <v>4417.6296171351869</v>
      </c>
      <c r="D90" s="4">
        <f t="shared" si="7"/>
        <v>3122.1127945800413</v>
      </c>
      <c r="E90" s="4">
        <f t="shared" si="8"/>
        <v>1295.5168225551456</v>
      </c>
    </row>
    <row r="91" spans="1:5" x14ac:dyDescent="0.25">
      <c r="A91">
        <f t="shared" si="9"/>
        <v>81</v>
      </c>
      <c r="B91" s="4">
        <f t="shared" si="5"/>
        <v>712330.26479574014</v>
      </c>
      <c r="C91" s="4">
        <f t="shared" si="6"/>
        <v>4417.6296171351869</v>
      </c>
      <c r="D91" s="4">
        <f t="shared" si="7"/>
        <v>3116.4449084813627</v>
      </c>
      <c r="E91" s="4">
        <f t="shared" si="8"/>
        <v>1301.1847086538241</v>
      </c>
    </row>
    <row r="92" spans="1:5" x14ac:dyDescent="0.25">
      <c r="A92">
        <f t="shared" si="9"/>
        <v>82</v>
      </c>
      <c r="B92" s="4">
        <f t="shared" si="5"/>
        <v>711029.0800870863</v>
      </c>
      <c r="C92" s="4">
        <f t="shared" si="6"/>
        <v>4417.6296171351869</v>
      </c>
      <c r="D92" s="4">
        <f t="shared" si="7"/>
        <v>3110.7522253810021</v>
      </c>
      <c r="E92" s="4">
        <f t="shared" si="8"/>
        <v>1306.8773917541848</v>
      </c>
    </row>
    <row r="93" spans="1:5" x14ac:dyDescent="0.25">
      <c r="A93">
        <f t="shared" si="9"/>
        <v>83</v>
      </c>
      <c r="B93" s="4">
        <f t="shared" si="5"/>
        <v>709722.20269533212</v>
      </c>
      <c r="C93" s="4">
        <f t="shared" si="6"/>
        <v>4417.6296171351869</v>
      </c>
      <c r="D93" s="4">
        <f t="shared" si="7"/>
        <v>3105.0346367920779</v>
      </c>
      <c r="E93" s="4">
        <f t="shared" si="8"/>
        <v>1312.594980343109</v>
      </c>
    </row>
    <row r="94" spans="1:5" x14ac:dyDescent="0.25">
      <c r="A94">
        <f t="shared" si="9"/>
        <v>84</v>
      </c>
      <c r="B94" s="4">
        <f t="shared" si="5"/>
        <v>708409.60771498899</v>
      </c>
      <c r="C94" s="4">
        <f t="shared" si="6"/>
        <v>4417.6296171351869</v>
      </c>
      <c r="D94" s="4">
        <f t="shared" si="7"/>
        <v>3099.2920337530763</v>
      </c>
      <c r="E94" s="4">
        <f t="shared" si="8"/>
        <v>1318.3375833821106</v>
      </c>
    </row>
    <row r="95" spans="1:5" x14ac:dyDescent="0.25">
      <c r="A95">
        <f t="shared" si="9"/>
        <v>85</v>
      </c>
      <c r="B95" s="4">
        <f t="shared" si="5"/>
        <v>707091.27013160684</v>
      </c>
      <c r="C95" s="4">
        <f t="shared" si="6"/>
        <v>4417.6296171351869</v>
      </c>
      <c r="D95" s="4">
        <f t="shared" si="7"/>
        <v>3093.5243068257796</v>
      </c>
      <c r="E95" s="4">
        <f t="shared" si="8"/>
        <v>1324.1053103094073</v>
      </c>
    </row>
    <row r="96" spans="1:5" x14ac:dyDescent="0.25">
      <c r="A96">
        <f t="shared" si="9"/>
        <v>86</v>
      </c>
      <c r="B96" s="4">
        <f t="shared" si="5"/>
        <v>705767.1648212974</v>
      </c>
      <c r="C96" s="4">
        <f t="shared" si="6"/>
        <v>4417.6296171351869</v>
      </c>
      <c r="D96" s="4">
        <f t="shared" si="7"/>
        <v>3087.7313460931759</v>
      </c>
      <c r="E96" s="4">
        <f t="shared" si="8"/>
        <v>1329.8982710420109</v>
      </c>
    </row>
    <row r="97" spans="1:5" x14ac:dyDescent="0.25">
      <c r="A97">
        <f t="shared" si="9"/>
        <v>87</v>
      </c>
      <c r="B97" s="4">
        <f t="shared" si="5"/>
        <v>704437.26655025536</v>
      </c>
      <c r="C97" s="4">
        <f t="shared" si="6"/>
        <v>4417.6296171351869</v>
      </c>
      <c r="D97" s="4">
        <f t="shared" si="7"/>
        <v>3081.9130411573669</v>
      </c>
      <c r="E97" s="4">
        <f t="shared" si="8"/>
        <v>1335.71657597782</v>
      </c>
    </row>
    <row r="98" spans="1:5" x14ac:dyDescent="0.25">
      <c r="A98">
        <f t="shared" si="9"/>
        <v>88</v>
      </c>
      <c r="B98" s="4">
        <f t="shared" si="5"/>
        <v>703101.5499742775</v>
      </c>
      <c r="C98" s="4">
        <f t="shared" si="6"/>
        <v>4417.6296171351869</v>
      </c>
      <c r="D98" s="4">
        <f t="shared" si="7"/>
        <v>3076.0692811374638</v>
      </c>
      <c r="E98" s="4">
        <f t="shared" si="8"/>
        <v>1341.5603359977231</v>
      </c>
    </row>
    <row r="99" spans="1:5" x14ac:dyDescent="0.25">
      <c r="A99">
        <f t="shared" si="9"/>
        <v>89</v>
      </c>
      <c r="B99" s="4">
        <f t="shared" si="5"/>
        <v>701759.98963827977</v>
      </c>
      <c r="C99" s="4">
        <f t="shared" si="6"/>
        <v>4417.6296171351869</v>
      </c>
      <c r="D99" s="4">
        <f t="shared" si="7"/>
        <v>3070.1999546674738</v>
      </c>
      <c r="E99" s="4">
        <f t="shared" si="8"/>
        <v>1347.4296624677131</v>
      </c>
    </row>
    <row r="100" spans="1:5" x14ac:dyDescent="0.25">
      <c r="A100">
        <f t="shared" si="9"/>
        <v>90</v>
      </c>
      <c r="B100" s="4">
        <f t="shared" si="5"/>
        <v>700412.5599758121</v>
      </c>
      <c r="C100" s="4">
        <f t="shared" si="6"/>
        <v>4417.6296171351869</v>
      </c>
      <c r="D100" s="4">
        <f t="shared" si="7"/>
        <v>3064.3049498941778</v>
      </c>
      <c r="E100" s="4">
        <f t="shared" si="8"/>
        <v>1353.3246672410091</v>
      </c>
    </row>
    <row r="101" spans="1:5" x14ac:dyDescent="0.25">
      <c r="A101">
        <f t="shared" si="9"/>
        <v>91</v>
      </c>
      <c r="B101" s="4">
        <f t="shared" si="5"/>
        <v>699059.23530857114</v>
      </c>
      <c r="C101" s="4">
        <f t="shared" si="6"/>
        <v>4417.6296171351869</v>
      </c>
      <c r="D101" s="4">
        <f t="shared" si="7"/>
        <v>3058.3841544749985</v>
      </c>
      <c r="E101" s="4">
        <f t="shared" si="8"/>
        <v>1359.2454626601884</v>
      </c>
    </row>
    <row r="102" spans="1:5" x14ac:dyDescent="0.25">
      <c r="A102">
        <f t="shared" si="9"/>
        <v>92</v>
      </c>
      <c r="B102" s="4">
        <f t="shared" si="5"/>
        <v>697699.98984591092</v>
      </c>
      <c r="C102" s="4">
        <f t="shared" si="6"/>
        <v>4417.6296171351869</v>
      </c>
      <c r="D102" s="4">
        <f t="shared" si="7"/>
        <v>3052.43745557586</v>
      </c>
      <c r="E102" s="4">
        <f t="shared" si="8"/>
        <v>1365.1921615593269</v>
      </c>
    </row>
    <row r="103" spans="1:5" x14ac:dyDescent="0.25">
      <c r="A103">
        <f t="shared" si="9"/>
        <v>93</v>
      </c>
      <c r="B103" s="4">
        <f t="shared" si="5"/>
        <v>696334.79768435156</v>
      </c>
      <c r="C103" s="4">
        <f t="shared" si="6"/>
        <v>4417.6296171351869</v>
      </c>
      <c r="D103" s="4">
        <f t="shared" si="7"/>
        <v>3046.4647398690377</v>
      </c>
      <c r="E103" s="4">
        <f t="shared" si="8"/>
        <v>1371.1648772661492</v>
      </c>
    </row>
    <row r="104" spans="1:5" x14ac:dyDescent="0.25">
      <c r="A104">
        <f t="shared" si="9"/>
        <v>94</v>
      </c>
      <c r="B104" s="4">
        <f t="shared" si="5"/>
        <v>694963.63280708541</v>
      </c>
      <c r="C104" s="4">
        <f t="shared" si="6"/>
        <v>4417.6296171351869</v>
      </c>
      <c r="D104" s="4">
        <f t="shared" si="7"/>
        <v>3040.4658935309985</v>
      </c>
      <c r="E104" s="4">
        <f t="shared" si="8"/>
        <v>1377.1637236041884</v>
      </c>
    </row>
    <row r="105" spans="1:5" x14ac:dyDescent="0.25">
      <c r="A105">
        <f t="shared" si="9"/>
        <v>95</v>
      </c>
      <c r="B105" s="4">
        <f t="shared" si="5"/>
        <v>693586.46908348124</v>
      </c>
      <c r="C105" s="4">
        <f t="shared" si="6"/>
        <v>4417.6296171351869</v>
      </c>
      <c r="D105" s="4">
        <f t="shared" si="7"/>
        <v>3034.4408022402299</v>
      </c>
      <c r="E105" s="4">
        <f t="shared" si="8"/>
        <v>1383.188814894957</v>
      </c>
    </row>
    <row r="106" spans="1:5" x14ac:dyDescent="0.25">
      <c r="A106">
        <f t="shared" si="9"/>
        <v>96</v>
      </c>
      <c r="B106" s="4">
        <f t="shared" si="5"/>
        <v>692203.28026858624</v>
      </c>
      <c r="C106" s="4">
        <f t="shared" si="6"/>
        <v>4417.6296171351869</v>
      </c>
      <c r="D106" s="4">
        <f t="shared" si="7"/>
        <v>3028.3893511750643</v>
      </c>
      <c r="E106" s="4">
        <f t="shared" si="8"/>
        <v>1389.2402659601225</v>
      </c>
    </row>
    <row r="107" spans="1:5" x14ac:dyDescent="0.25">
      <c r="A107">
        <f t="shared" si="9"/>
        <v>97</v>
      </c>
      <c r="B107" s="4">
        <f t="shared" si="5"/>
        <v>690814.04000262613</v>
      </c>
      <c r="C107" s="4">
        <f t="shared" si="6"/>
        <v>4417.6296171351869</v>
      </c>
      <c r="D107" s="4">
        <f t="shared" si="7"/>
        <v>3022.3114250114891</v>
      </c>
      <c r="E107" s="4">
        <f t="shared" si="8"/>
        <v>1395.3181921236978</v>
      </c>
    </row>
    <row r="108" spans="1:5" x14ac:dyDescent="0.25">
      <c r="A108">
        <f t="shared" si="9"/>
        <v>98</v>
      </c>
      <c r="B108" s="4">
        <f t="shared" si="5"/>
        <v>689418.72181050247</v>
      </c>
      <c r="C108" s="4">
        <f t="shared" si="6"/>
        <v>4417.6296171351869</v>
      </c>
      <c r="D108" s="4">
        <f t="shared" si="7"/>
        <v>3016.2069079209482</v>
      </c>
      <c r="E108" s="4">
        <f t="shared" si="8"/>
        <v>1401.4227092142387</v>
      </c>
    </row>
    <row r="109" spans="1:5" x14ac:dyDescent="0.25">
      <c r="A109">
        <f t="shared" si="9"/>
        <v>99</v>
      </c>
      <c r="B109" s="4">
        <f t="shared" si="5"/>
        <v>688017.2991012882</v>
      </c>
      <c r="C109" s="4">
        <f t="shared" si="6"/>
        <v>4417.6296171351869</v>
      </c>
      <c r="D109" s="4">
        <f t="shared" si="7"/>
        <v>3010.0756835681354</v>
      </c>
      <c r="E109" s="4">
        <f t="shared" si="8"/>
        <v>1407.5539335670514</v>
      </c>
    </row>
    <row r="110" spans="1:5" x14ac:dyDescent="0.25">
      <c r="A110">
        <f t="shared" si="9"/>
        <v>100</v>
      </c>
      <c r="B110" s="4">
        <f t="shared" si="5"/>
        <v>686609.74516772118</v>
      </c>
      <c r="C110" s="4">
        <f t="shared" si="6"/>
        <v>4417.6296171351869</v>
      </c>
      <c r="D110" s="4">
        <f t="shared" si="7"/>
        <v>3003.9176351087799</v>
      </c>
      <c r="E110" s="4">
        <f t="shared" si="8"/>
        <v>1413.711982026407</v>
      </c>
    </row>
    <row r="111" spans="1:5" x14ac:dyDescent="0.25">
      <c r="A111">
        <f t="shared" si="9"/>
        <v>101</v>
      </c>
      <c r="B111" s="4">
        <f t="shared" si="5"/>
        <v>685196.03318569472</v>
      </c>
      <c r="C111" s="4">
        <f t="shared" si="6"/>
        <v>4417.6296171351869</v>
      </c>
      <c r="D111" s="4">
        <f t="shared" si="7"/>
        <v>2997.7326451874142</v>
      </c>
      <c r="E111" s="4">
        <f t="shared" si="8"/>
        <v>1419.8969719477727</v>
      </c>
    </row>
    <row r="112" spans="1:5" x14ac:dyDescent="0.25">
      <c r="A112">
        <f t="shared" si="9"/>
        <v>102</v>
      </c>
      <c r="B112" s="4">
        <f t="shared" si="5"/>
        <v>683776.13621374697</v>
      </c>
      <c r="C112" s="4">
        <f t="shared" si="6"/>
        <v>4417.6296171351869</v>
      </c>
      <c r="D112" s="4">
        <f t="shared" si="7"/>
        <v>2991.5205959351429</v>
      </c>
      <c r="E112" s="4">
        <f t="shared" si="8"/>
        <v>1426.109021200044</v>
      </c>
    </row>
    <row r="113" spans="1:5" x14ac:dyDescent="0.25">
      <c r="A113">
        <f t="shared" si="9"/>
        <v>103</v>
      </c>
      <c r="B113" s="4">
        <f t="shared" si="5"/>
        <v>682350.02719254687</v>
      </c>
      <c r="C113" s="4">
        <f t="shared" si="6"/>
        <v>4417.6296171351869</v>
      </c>
      <c r="D113" s="4">
        <f t="shared" si="7"/>
        <v>2985.2813689673922</v>
      </c>
      <c r="E113" s="4">
        <f t="shared" si="8"/>
        <v>1432.3482481677947</v>
      </c>
    </row>
    <row r="114" spans="1:5" x14ac:dyDescent="0.25">
      <c r="A114">
        <f t="shared" si="9"/>
        <v>104</v>
      </c>
      <c r="B114" s="4">
        <f t="shared" si="5"/>
        <v>680917.67894437909</v>
      </c>
      <c r="C114" s="4">
        <f t="shared" si="6"/>
        <v>4417.6296171351869</v>
      </c>
      <c r="D114" s="4">
        <f t="shared" si="7"/>
        <v>2979.0148453816582</v>
      </c>
      <c r="E114" s="4">
        <f t="shared" si="8"/>
        <v>1438.6147717535287</v>
      </c>
    </row>
    <row r="115" spans="1:5" x14ac:dyDescent="0.25">
      <c r="A115">
        <f t="shared" si="9"/>
        <v>105</v>
      </c>
      <c r="B115" s="4">
        <f t="shared" si="5"/>
        <v>679479.06417262554</v>
      </c>
      <c r="C115" s="4">
        <f t="shared" si="6"/>
        <v>4417.6296171351869</v>
      </c>
      <c r="D115" s="4">
        <f t="shared" si="7"/>
        <v>2972.7209057552363</v>
      </c>
      <c r="E115" s="4">
        <f t="shared" si="8"/>
        <v>1444.9087113799505</v>
      </c>
    </row>
    <row r="116" spans="1:5" x14ac:dyDescent="0.25">
      <c r="A116">
        <f t="shared" si="9"/>
        <v>106</v>
      </c>
      <c r="B116" s="4">
        <f t="shared" si="5"/>
        <v>678034.15546124557</v>
      </c>
      <c r="C116" s="4">
        <f t="shared" si="6"/>
        <v>4417.6296171351869</v>
      </c>
      <c r="D116" s="4">
        <f t="shared" si="7"/>
        <v>2966.3994301429489</v>
      </c>
      <c r="E116" s="4">
        <f t="shared" si="8"/>
        <v>1451.230186992238</v>
      </c>
    </row>
    <row r="117" spans="1:5" x14ac:dyDescent="0.25">
      <c r="A117">
        <f t="shared" si="9"/>
        <v>107</v>
      </c>
      <c r="B117" s="4">
        <f t="shared" si="5"/>
        <v>676582.92527425336</v>
      </c>
      <c r="C117" s="4">
        <f t="shared" si="6"/>
        <v>4417.6296171351869</v>
      </c>
      <c r="D117" s="4">
        <f t="shared" si="7"/>
        <v>2960.0502980748583</v>
      </c>
      <c r="E117" s="4">
        <f t="shared" si="8"/>
        <v>1457.5793190603285</v>
      </c>
    </row>
    <row r="118" spans="1:5" x14ac:dyDescent="0.25">
      <c r="A118">
        <f t="shared" si="9"/>
        <v>108</v>
      </c>
      <c r="B118" s="4">
        <f t="shared" si="5"/>
        <v>675125.34595519304</v>
      </c>
      <c r="C118" s="4">
        <f t="shared" si="6"/>
        <v>4417.6296171351869</v>
      </c>
      <c r="D118" s="4">
        <f t="shared" si="7"/>
        <v>2953.6733885539693</v>
      </c>
      <c r="E118" s="4">
        <f t="shared" si="8"/>
        <v>1463.9562285812176</v>
      </c>
    </row>
    <row r="119" spans="1:5" x14ac:dyDescent="0.25">
      <c r="A119">
        <f t="shared" si="9"/>
        <v>109</v>
      </c>
      <c r="B119" s="4">
        <f t="shared" si="5"/>
        <v>673661.38972661179</v>
      </c>
      <c r="C119" s="4">
        <f t="shared" si="6"/>
        <v>4417.6296171351869</v>
      </c>
      <c r="D119" s="4">
        <f t="shared" si="7"/>
        <v>2947.2685800539261</v>
      </c>
      <c r="E119" s="4">
        <f t="shared" si="8"/>
        <v>1470.3610370812607</v>
      </c>
    </row>
    <row r="120" spans="1:5" x14ac:dyDescent="0.25">
      <c r="A120">
        <f t="shared" si="9"/>
        <v>110</v>
      </c>
      <c r="B120" s="4">
        <f t="shared" si="5"/>
        <v>672191.02868953056</v>
      </c>
      <c r="C120" s="4">
        <f t="shared" si="6"/>
        <v>4417.6296171351869</v>
      </c>
      <c r="D120" s="4">
        <f t="shared" si="7"/>
        <v>2940.835750516696</v>
      </c>
      <c r="E120" s="4">
        <f t="shared" si="8"/>
        <v>1476.7938666184909</v>
      </c>
    </row>
    <row r="121" spans="1:5" x14ac:dyDescent="0.25">
      <c r="A121">
        <f t="shared" si="9"/>
        <v>111</v>
      </c>
      <c r="B121" s="4">
        <f t="shared" si="5"/>
        <v>670714.23482291203</v>
      </c>
      <c r="C121" s="4">
        <f t="shared" si="6"/>
        <v>4417.6296171351869</v>
      </c>
      <c r="D121" s="4">
        <f t="shared" si="7"/>
        <v>2934.3747773502396</v>
      </c>
      <c r="E121" s="4">
        <f t="shared" si="8"/>
        <v>1483.2548397849473</v>
      </c>
    </row>
    <row r="122" spans="1:5" x14ac:dyDescent="0.25">
      <c r="A122">
        <f t="shared" si="9"/>
        <v>112</v>
      </c>
      <c r="B122" s="4">
        <f t="shared" si="5"/>
        <v>669230.97998312709</v>
      </c>
      <c r="C122" s="4">
        <f t="shared" si="6"/>
        <v>4417.6296171351869</v>
      </c>
      <c r="D122" s="4">
        <f t="shared" si="7"/>
        <v>2927.8855374261807</v>
      </c>
      <c r="E122" s="4">
        <f t="shared" si="8"/>
        <v>1489.7440797090062</v>
      </c>
    </row>
    <row r="123" spans="1:5" x14ac:dyDescent="0.25">
      <c r="A123">
        <f t="shared" si="9"/>
        <v>113</v>
      </c>
      <c r="B123" s="4">
        <f t="shared" si="5"/>
        <v>667741.23590341804</v>
      </c>
      <c r="C123" s="4">
        <f t="shared" si="6"/>
        <v>4417.6296171351869</v>
      </c>
      <c r="D123" s="4">
        <f t="shared" si="7"/>
        <v>2921.3679070774538</v>
      </c>
      <c r="E123" s="4">
        <f t="shared" si="8"/>
        <v>1496.2617100577331</v>
      </c>
    </row>
    <row r="124" spans="1:5" x14ac:dyDescent="0.25">
      <c r="A124">
        <f t="shared" si="9"/>
        <v>114</v>
      </c>
      <c r="B124" s="4">
        <f t="shared" si="5"/>
        <v>666244.97419336031</v>
      </c>
      <c r="C124" s="4">
        <f t="shared" si="6"/>
        <v>4417.6296171351869</v>
      </c>
      <c r="D124" s="4">
        <f t="shared" si="7"/>
        <v>2914.8217620959508</v>
      </c>
      <c r="E124" s="4">
        <f t="shared" si="8"/>
        <v>1502.8078550392361</v>
      </c>
    </row>
    <row r="125" spans="1:5" x14ac:dyDescent="0.25">
      <c r="A125">
        <f t="shared" si="9"/>
        <v>115</v>
      </c>
      <c r="B125" s="4">
        <f t="shared" si="5"/>
        <v>664742.16633832105</v>
      </c>
      <c r="C125" s="4">
        <f t="shared" si="6"/>
        <v>4417.6296171351869</v>
      </c>
      <c r="D125" s="4">
        <f t="shared" si="7"/>
        <v>2908.2469777301544</v>
      </c>
      <c r="E125" s="4">
        <f t="shared" si="8"/>
        <v>1509.3826394050325</v>
      </c>
    </row>
    <row r="126" spans="1:5" x14ac:dyDescent="0.25">
      <c r="A126">
        <f t="shared" si="9"/>
        <v>116</v>
      </c>
      <c r="B126" s="4">
        <f t="shared" si="5"/>
        <v>663232.78369891597</v>
      </c>
      <c r="C126" s="4">
        <f t="shared" si="6"/>
        <v>4417.6296171351869</v>
      </c>
      <c r="D126" s="4">
        <f t="shared" si="7"/>
        <v>2901.6434286827571</v>
      </c>
      <c r="E126" s="4">
        <f t="shared" si="8"/>
        <v>1515.9861884524298</v>
      </c>
    </row>
    <row r="127" spans="1:5" x14ac:dyDescent="0.25">
      <c r="A127">
        <f t="shared" si="9"/>
        <v>117</v>
      </c>
      <c r="B127" s="4">
        <f t="shared" si="5"/>
        <v>661716.79751046351</v>
      </c>
      <c r="C127" s="4">
        <f t="shared" si="6"/>
        <v>4417.6296171351869</v>
      </c>
      <c r="D127" s="4">
        <f t="shared" si="7"/>
        <v>2895.0109891082775</v>
      </c>
      <c r="E127" s="4">
        <f t="shared" si="8"/>
        <v>1522.6186280269094</v>
      </c>
    </row>
    <row r="128" spans="1:5" x14ac:dyDescent="0.25">
      <c r="A128">
        <f t="shared" si="9"/>
        <v>118</v>
      </c>
      <c r="B128" s="4">
        <f t="shared" si="5"/>
        <v>660194.17888243659</v>
      </c>
      <c r="C128" s="4">
        <f t="shared" si="6"/>
        <v>4417.6296171351869</v>
      </c>
      <c r="D128" s="4">
        <f t="shared" si="7"/>
        <v>2888.3495326106599</v>
      </c>
      <c r="E128" s="4">
        <f t="shared" si="8"/>
        <v>1529.280084524527</v>
      </c>
    </row>
    <row r="129" spans="1:5" x14ac:dyDescent="0.25">
      <c r="A129">
        <f t="shared" si="9"/>
        <v>119</v>
      </c>
      <c r="B129" s="4">
        <f t="shared" si="5"/>
        <v>658664.89879791206</v>
      </c>
      <c r="C129" s="4">
        <f t="shared" si="6"/>
        <v>4417.6296171351869</v>
      </c>
      <c r="D129" s="4">
        <f t="shared" si="7"/>
        <v>2881.6589322408649</v>
      </c>
      <c r="E129" s="4">
        <f t="shared" si="8"/>
        <v>1535.9706848943219</v>
      </c>
    </row>
    <row r="130" spans="1:5" x14ac:dyDescent="0.25">
      <c r="A130">
        <f t="shared" si="9"/>
        <v>120</v>
      </c>
      <c r="B130" s="4">
        <f t="shared" si="5"/>
        <v>657128.9281130177</v>
      </c>
      <c r="C130" s="4">
        <f t="shared" si="6"/>
        <v>4417.6296171351869</v>
      </c>
      <c r="D130" s="4">
        <f t="shared" si="7"/>
        <v>2874.939060494452</v>
      </c>
      <c r="E130" s="4">
        <f t="shared" si="8"/>
        <v>1542.6905566407349</v>
      </c>
    </row>
    <row r="131" spans="1:5" x14ac:dyDescent="0.25">
      <c r="A131">
        <f t="shared" si="9"/>
        <v>121</v>
      </c>
      <c r="B131" s="4">
        <f t="shared" si="5"/>
        <v>655586.23755637696</v>
      </c>
      <c r="C131" s="4">
        <f t="shared" si="6"/>
        <v>4417.6296171351869</v>
      </c>
      <c r="D131" s="4">
        <f t="shared" si="7"/>
        <v>2868.1897893091491</v>
      </c>
      <c r="E131" s="4">
        <f t="shared" si="8"/>
        <v>1549.4398278260378</v>
      </c>
    </row>
    <row r="132" spans="1:5" x14ac:dyDescent="0.25">
      <c r="A132">
        <f t="shared" si="9"/>
        <v>122</v>
      </c>
      <c r="B132" s="4">
        <f t="shared" si="5"/>
        <v>654036.79772855097</v>
      </c>
      <c r="C132" s="4">
        <f t="shared" si="6"/>
        <v>4417.6296171351869</v>
      </c>
      <c r="D132" s="4">
        <f t="shared" si="7"/>
        <v>2861.4109900624103</v>
      </c>
      <c r="E132" s="4">
        <f t="shared" si="8"/>
        <v>1556.2186270727766</v>
      </c>
    </row>
    <row r="133" spans="1:5" x14ac:dyDescent="0.25">
      <c r="A133">
        <f t="shared" si="9"/>
        <v>123</v>
      </c>
      <c r="B133" s="4">
        <f t="shared" si="5"/>
        <v>652480.57910147822</v>
      </c>
      <c r="C133" s="4">
        <f t="shared" si="6"/>
        <v>4417.6296171351869</v>
      </c>
      <c r="D133" s="4">
        <f t="shared" si="7"/>
        <v>2854.6025335689669</v>
      </c>
      <c r="E133" s="4">
        <f t="shared" si="8"/>
        <v>1563.02708356622</v>
      </c>
    </row>
    <row r="134" spans="1:5" x14ac:dyDescent="0.25">
      <c r="A134">
        <f t="shared" si="9"/>
        <v>124</v>
      </c>
      <c r="B134" s="4">
        <f t="shared" si="5"/>
        <v>650917.55201791204</v>
      </c>
      <c r="C134" s="4">
        <f t="shared" si="6"/>
        <v>4417.6296171351869</v>
      </c>
      <c r="D134" s="4">
        <f t="shared" si="7"/>
        <v>2847.7642900783649</v>
      </c>
      <c r="E134" s="4">
        <f t="shared" si="8"/>
        <v>1569.865327056822</v>
      </c>
    </row>
    <row r="135" spans="1:5" x14ac:dyDescent="0.25">
      <c r="A135">
        <f t="shared" si="9"/>
        <v>125</v>
      </c>
      <c r="B135" s="4">
        <f t="shared" si="5"/>
        <v>649347.68669085519</v>
      </c>
      <c r="C135" s="4">
        <f t="shared" si="6"/>
        <v>4417.6296171351869</v>
      </c>
      <c r="D135" s="4">
        <f t="shared" si="7"/>
        <v>2840.8961292724912</v>
      </c>
      <c r="E135" s="4">
        <f t="shared" si="8"/>
        <v>1576.7334878626957</v>
      </c>
    </row>
    <row r="136" spans="1:5" x14ac:dyDescent="0.25">
      <c r="A136">
        <f t="shared" si="9"/>
        <v>126</v>
      </c>
      <c r="B136" s="4">
        <f t="shared" si="5"/>
        <v>647770.95320299244</v>
      </c>
      <c r="C136" s="4">
        <f t="shared" si="6"/>
        <v>4417.6296171351869</v>
      </c>
      <c r="D136" s="4">
        <f t="shared" si="7"/>
        <v>2833.9979202630916</v>
      </c>
      <c r="E136" s="4">
        <f t="shared" si="8"/>
        <v>1583.6316968720953</v>
      </c>
    </row>
    <row r="137" spans="1:5" x14ac:dyDescent="0.25">
      <c r="A137">
        <f t="shared" si="9"/>
        <v>127</v>
      </c>
      <c r="B137" s="4">
        <f t="shared" si="5"/>
        <v>646187.32150612038</v>
      </c>
      <c r="C137" s="4">
        <f t="shared" si="6"/>
        <v>4417.6296171351869</v>
      </c>
      <c r="D137" s="4">
        <f t="shared" si="7"/>
        <v>2827.0695315892763</v>
      </c>
      <c r="E137" s="4">
        <f t="shared" si="8"/>
        <v>1590.5600855459106</v>
      </c>
    </row>
    <row r="138" spans="1:5" x14ac:dyDescent="0.25">
      <c r="A138">
        <f t="shared" si="9"/>
        <v>128</v>
      </c>
      <c r="B138" s="4">
        <f t="shared" si="5"/>
        <v>644596.7614205745</v>
      </c>
      <c r="C138" s="4">
        <f t="shared" si="6"/>
        <v>4417.6296171351869</v>
      </c>
      <c r="D138" s="4">
        <f t="shared" si="7"/>
        <v>2820.1108312150131</v>
      </c>
      <c r="E138" s="4">
        <f t="shared" si="8"/>
        <v>1597.5187859201737</v>
      </c>
    </row>
    <row r="139" spans="1:5" x14ac:dyDescent="0.25">
      <c r="A139">
        <f t="shared" si="9"/>
        <v>129</v>
      </c>
      <c r="B139" s="4">
        <f t="shared" si="5"/>
        <v>642999.24263465428</v>
      </c>
      <c r="C139" s="4">
        <f t="shared" si="6"/>
        <v>4417.6296171351869</v>
      </c>
      <c r="D139" s="4">
        <f t="shared" si="7"/>
        <v>2813.1216865266124</v>
      </c>
      <c r="E139" s="4">
        <f t="shared" si="8"/>
        <v>1604.5079306085745</v>
      </c>
    </row>
    <row r="140" spans="1:5" x14ac:dyDescent="0.25">
      <c r="A140">
        <f t="shared" si="9"/>
        <v>130</v>
      </c>
      <c r="B140" s="4">
        <f t="shared" si="5"/>
        <v>641394.7347040457</v>
      </c>
      <c r="C140" s="4">
        <f t="shared" si="6"/>
        <v>4417.6296171351869</v>
      </c>
      <c r="D140" s="4">
        <f t="shared" si="7"/>
        <v>2806.1019643301997</v>
      </c>
      <c r="E140" s="4">
        <f t="shared" si="8"/>
        <v>1611.5276528049872</v>
      </c>
    </row>
    <row r="141" spans="1:5" x14ac:dyDescent="0.25">
      <c r="A141">
        <f t="shared" si="9"/>
        <v>131</v>
      </c>
      <c r="B141" s="4">
        <f t="shared" ref="B141:B204" si="10">B140-E140</f>
        <v>639783.20705124072</v>
      </c>
      <c r="C141" s="4">
        <f t="shared" ref="C141:C204" si="11">$B$7</f>
        <v>4417.6296171351869</v>
      </c>
      <c r="D141" s="4">
        <f t="shared" ref="D141:D204" si="12">$B$5*B141</f>
        <v>2799.0515308491777</v>
      </c>
      <c r="E141" s="4">
        <f t="shared" ref="E141:E204" si="13">C141-D141</f>
        <v>1618.5780862860092</v>
      </c>
    </row>
    <row r="142" spans="1:5" x14ac:dyDescent="0.25">
      <c r="A142">
        <f t="shared" ref="A142:A205" si="14">A141+1</f>
        <v>132</v>
      </c>
      <c r="B142" s="4">
        <f t="shared" si="10"/>
        <v>638164.62896495475</v>
      </c>
      <c r="C142" s="4">
        <f t="shared" si="11"/>
        <v>4417.6296171351869</v>
      </c>
      <c r="D142" s="4">
        <f t="shared" si="12"/>
        <v>2791.970251721677</v>
      </c>
      <c r="E142" s="4">
        <f t="shared" si="13"/>
        <v>1625.6593654135099</v>
      </c>
    </row>
    <row r="143" spans="1:5" x14ac:dyDescent="0.25">
      <c r="A143">
        <f t="shared" si="14"/>
        <v>133</v>
      </c>
      <c r="B143" s="4">
        <f t="shared" si="10"/>
        <v>636538.96959954128</v>
      </c>
      <c r="C143" s="4">
        <f t="shared" si="11"/>
        <v>4417.6296171351869</v>
      </c>
      <c r="D143" s="4">
        <f t="shared" si="12"/>
        <v>2784.8579919979929</v>
      </c>
      <c r="E143" s="4">
        <f t="shared" si="13"/>
        <v>1632.771625137194</v>
      </c>
    </row>
    <row r="144" spans="1:5" x14ac:dyDescent="0.25">
      <c r="A144">
        <f t="shared" si="14"/>
        <v>134</v>
      </c>
      <c r="B144" s="4">
        <f t="shared" si="10"/>
        <v>634906.19797440409</v>
      </c>
      <c r="C144" s="4">
        <f t="shared" si="11"/>
        <v>4417.6296171351869</v>
      </c>
      <c r="D144" s="4">
        <f t="shared" si="12"/>
        <v>2777.7146161380174</v>
      </c>
      <c r="E144" s="4">
        <f t="shared" si="13"/>
        <v>1639.9150009971695</v>
      </c>
    </row>
    <row r="145" spans="1:5" x14ac:dyDescent="0.25">
      <c r="A145">
        <f t="shared" si="14"/>
        <v>135</v>
      </c>
      <c r="B145" s="4">
        <f t="shared" si="10"/>
        <v>633266.28297340695</v>
      </c>
      <c r="C145" s="4">
        <f t="shared" si="11"/>
        <v>4417.6296171351869</v>
      </c>
      <c r="D145" s="4">
        <f t="shared" si="12"/>
        <v>2770.5399880086552</v>
      </c>
      <c r="E145" s="4">
        <f t="shared" si="13"/>
        <v>1647.0896291265317</v>
      </c>
    </row>
    <row r="146" spans="1:5" x14ac:dyDescent="0.25">
      <c r="A146">
        <f t="shared" si="14"/>
        <v>136</v>
      </c>
      <c r="B146" s="4">
        <f t="shared" si="10"/>
        <v>631619.19334428047</v>
      </c>
      <c r="C146" s="4">
        <f t="shared" si="11"/>
        <v>4417.6296171351869</v>
      </c>
      <c r="D146" s="4">
        <f t="shared" si="12"/>
        <v>2763.3339708812268</v>
      </c>
      <c r="E146" s="4">
        <f t="shared" si="13"/>
        <v>1654.2956462539601</v>
      </c>
    </row>
    <row r="147" spans="1:5" x14ac:dyDescent="0.25">
      <c r="A147">
        <f t="shared" si="14"/>
        <v>137</v>
      </c>
      <c r="B147" s="4">
        <f t="shared" si="10"/>
        <v>629964.8976980265</v>
      </c>
      <c r="C147" s="4">
        <f t="shared" si="11"/>
        <v>4417.6296171351869</v>
      </c>
      <c r="D147" s="4">
        <f t="shared" si="12"/>
        <v>2756.0964274288658</v>
      </c>
      <c r="E147" s="4">
        <f t="shared" si="13"/>
        <v>1661.5331897063211</v>
      </c>
    </row>
    <row r="148" spans="1:5" x14ac:dyDescent="0.25">
      <c r="A148">
        <f t="shared" si="14"/>
        <v>138</v>
      </c>
      <c r="B148" s="4">
        <f t="shared" si="10"/>
        <v>628303.36450832023</v>
      </c>
      <c r="C148" s="4">
        <f t="shared" si="11"/>
        <v>4417.6296171351869</v>
      </c>
      <c r="D148" s="4">
        <f t="shared" si="12"/>
        <v>2748.8272197239007</v>
      </c>
      <c r="E148" s="4">
        <f t="shared" si="13"/>
        <v>1668.8023974112862</v>
      </c>
    </row>
    <row r="149" spans="1:5" x14ac:dyDescent="0.25">
      <c r="A149">
        <f t="shared" si="14"/>
        <v>139</v>
      </c>
      <c r="B149" s="4">
        <f t="shared" si="10"/>
        <v>626634.56211090891</v>
      </c>
      <c r="C149" s="4">
        <f t="shared" si="11"/>
        <v>4417.6296171351869</v>
      </c>
      <c r="D149" s="4">
        <f t="shared" si="12"/>
        <v>2741.5262092352264</v>
      </c>
      <c r="E149" s="4">
        <f t="shared" si="13"/>
        <v>1676.1034078999605</v>
      </c>
    </row>
    <row r="150" spans="1:5" x14ac:dyDescent="0.25">
      <c r="A150">
        <f t="shared" si="14"/>
        <v>140</v>
      </c>
      <c r="B150" s="4">
        <f t="shared" si="10"/>
        <v>624958.45870300895</v>
      </c>
      <c r="C150" s="4">
        <f t="shared" si="11"/>
        <v>4417.6296171351869</v>
      </c>
      <c r="D150" s="4">
        <f t="shared" si="12"/>
        <v>2734.1932568256639</v>
      </c>
      <c r="E150" s="4">
        <f t="shared" si="13"/>
        <v>1683.436360309523</v>
      </c>
    </row>
    <row r="151" spans="1:5" x14ac:dyDescent="0.25">
      <c r="A151">
        <f t="shared" si="14"/>
        <v>141</v>
      </c>
      <c r="B151" s="4">
        <f t="shared" si="10"/>
        <v>623275.02234269946</v>
      </c>
      <c r="C151" s="4">
        <f t="shared" si="11"/>
        <v>4417.6296171351869</v>
      </c>
      <c r="D151" s="4">
        <f t="shared" si="12"/>
        <v>2726.82822274931</v>
      </c>
      <c r="E151" s="4">
        <f t="shared" si="13"/>
        <v>1690.8013943858768</v>
      </c>
    </row>
    <row r="152" spans="1:5" x14ac:dyDescent="0.25">
      <c r="A152">
        <f t="shared" si="14"/>
        <v>142</v>
      </c>
      <c r="B152" s="4">
        <f t="shared" si="10"/>
        <v>621584.2209483136</v>
      </c>
      <c r="C152" s="4">
        <f t="shared" si="11"/>
        <v>4417.6296171351869</v>
      </c>
      <c r="D152" s="4">
        <f t="shared" si="12"/>
        <v>2719.4309666488716</v>
      </c>
      <c r="E152" s="4">
        <f t="shared" si="13"/>
        <v>1698.1986504863153</v>
      </c>
    </row>
    <row r="153" spans="1:5" x14ac:dyDescent="0.25">
      <c r="A153">
        <f t="shared" si="14"/>
        <v>143</v>
      </c>
      <c r="B153" s="4">
        <f t="shared" si="10"/>
        <v>619886.02229782729</v>
      </c>
      <c r="C153" s="4">
        <f t="shared" si="11"/>
        <v>4417.6296171351869</v>
      </c>
      <c r="D153" s="4">
        <f t="shared" si="12"/>
        <v>2712.001347552994</v>
      </c>
      <c r="E153" s="4">
        <f t="shared" si="13"/>
        <v>1705.6282695821928</v>
      </c>
    </row>
    <row r="154" spans="1:5" x14ac:dyDescent="0.25">
      <c r="A154">
        <f t="shared" si="14"/>
        <v>144</v>
      </c>
      <c r="B154" s="4">
        <f t="shared" si="10"/>
        <v>618180.39402824512</v>
      </c>
      <c r="C154" s="4">
        <f t="shared" si="11"/>
        <v>4417.6296171351869</v>
      </c>
      <c r="D154" s="4">
        <f t="shared" si="12"/>
        <v>2704.5392238735722</v>
      </c>
      <c r="E154" s="4">
        <f t="shared" si="13"/>
        <v>1713.0903932616147</v>
      </c>
    </row>
    <row r="155" spans="1:5" x14ac:dyDescent="0.25">
      <c r="A155">
        <f t="shared" si="14"/>
        <v>145</v>
      </c>
      <c r="B155" s="4">
        <f t="shared" si="10"/>
        <v>616467.30363498349</v>
      </c>
      <c r="C155" s="4">
        <f t="shared" si="11"/>
        <v>4417.6296171351869</v>
      </c>
      <c r="D155" s="4">
        <f t="shared" si="12"/>
        <v>2697.0444534030526</v>
      </c>
      <c r="E155" s="4">
        <f t="shared" si="13"/>
        <v>1720.5851637321343</v>
      </c>
    </row>
    <row r="156" spans="1:5" x14ac:dyDescent="0.25">
      <c r="A156">
        <f t="shared" si="14"/>
        <v>146</v>
      </c>
      <c r="B156" s="4">
        <f t="shared" si="10"/>
        <v>614746.71847125131</v>
      </c>
      <c r="C156" s="4">
        <f t="shared" si="11"/>
        <v>4417.6296171351869</v>
      </c>
      <c r="D156" s="4">
        <f t="shared" si="12"/>
        <v>2689.5168933117243</v>
      </c>
      <c r="E156" s="4">
        <f t="shared" si="13"/>
        <v>1728.1127238234626</v>
      </c>
    </row>
    <row r="157" spans="1:5" x14ac:dyDescent="0.25">
      <c r="A157">
        <f t="shared" si="14"/>
        <v>147</v>
      </c>
      <c r="B157" s="4">
        <f t="shared" si="10"/>
        <v>613018.60574742779</v>
      </c>
      <c r="C157" s="4">
        <f t="shared" si="11"/>
        <v>4417.6296171351869</v>
      </c>
      <c r="D157" s="4">
        <f t="shared" si="12"/>
        <v>2681.9564001449962</v>
      </c>
      <c r="E157" s="4">
        <f t="shared" si="13"/>
        <v>1735.6732169901907</v>
      </c>
    </row>
    <row r="158" spans="1:5" x14ac:dyDescent="0.25">
      <c r="A158">
        <f t="shared" si="14"/>
        <v>148</v>
      </c>
      <c r="B158" s="4">
        <f t="shared" si="10"/>
        <v>611282.9325304376</v>
      </c>
      <c r="C158" s="4">
        <f t="shared" si="11"/>
        <v>4417.6296171351869</v>
      </c>
      <c r="D158" s="4">
        <f t="shared" si="12"/>
        <v>2674.362829820664</v>
      </c>
      <c r="E158" s="4">
        <f t="shared" si="13"/>
        <v>1743.2667873145228</v>
      </c>
    </row>
    <row r="159" spans="1:5" x14ac:dyDescent="0.25">
      <c r="A159">
        <f t="shared" si="14"/>
        <v>149</v>
      </c>
      <c r="B159" s="4">
        <f t="shared" si="10"/>
        <v>609539.66574312304</v>
      </c>
      <c r="C159" s="4">
        <f t="shared" si="11"/>
        <v>4417.6296171351869</v>
      </c>
      <c r="D159" s="4">
        <f t="shared" si="12"/>
        <v>2666.7360376261631</v>
      </c>
      <c r="E159" s="4">
        <f t="shared" si="13"/>
        <v>1750.8935795090238</v>
      </c>
    </row>
    <row r="160" spans="1:5" x14ac:dyDescent="0.25">
      <c r="A160">
        <f t="shared" si="14"/>
        <v>150</v>
      </c>
      <c r="B160" s="4">
        <f t="shared" si="10"/>
        <v>607788.77216361405</v>
      </c>
      <c r="C160" s="4">
        <f t="shared" si="11"/>
        <v>4417.6296171351869</v>
      </c>
      <c r="D160" s="4">
        <f t="shared" si="12"/>
        <v>2659.0758782158114</v>
      </c>
      <c r="E160" s="4">
        <f t="shared" si="13"/>
        <v>1758.5537389193755</v>
      </c>
    </row>
    <row r="161" spans="1:5" x14ac:dyDescent="0.25">
      <c r="A161">
        <f t="shared" si="14"/>
        <v>151</v>
      </c>
      <c r="B161" s="4">
        <f t="shared" si="10"/>
        <v>606030.21842469473</v>
      </c>
      <c r="C161" s="4">
        <f t="shared" si="11"/>
        <v>4417.6296171351869</v>
      </c>
      <c r="D161" s="4">
        <f t="shared" si="12"/>
        <v>2651.3822056080394</v>
      </c>
      <c r="E161" s="4">
        <f t="shared" si="13"/>
        <v>1766.2474115271475</v>
      </c>
    </row>
    <row r="162" spans="1:5" x14ac:dyDescent="0.25">
      <c r="A162">
        <f t="shared" si="14"/>
        <v>152</v>
      </c>
      <c r="B162" s="4">
        <f t="shared" si="10"/>
        <v>604263.97101316752</v>
      </c>
      <c r="C162" s="4">
        <f t="shared" si="11"/>
        <v>4417.6296171351869</v>
      </c>
      <c r="D162" s="4">
        <f t="shared" si="12"/>
        <v>2643.6548731826078</v>
      </c>
      <c r="E162" s="4">
        <f t="shared" si="13"/>
        <v>1773.974743952579</v>
      </c>
    </row>
    <row r="163" spans="1:5" x14ac:dyDescent="0.25">
      <c r="A163">
        <f t="shared" si="14"/>
        <v>153</v>
      </c>
      <c r="B163" s="4">
        <f t="shared" si="10"/>
        <v>602489.9962692149</v>
      </c>
      <c r="C163" s="4">
        <f t="shared" si="11"/>
        <v>4417.6296171351869</v>
      </c>
      <c r="D163" s="4">
        <f t="shared" si="12"/>
        <v>2635.8937336778149</v>
      </c>
      <c r="E163" s="4">
        <f t="shared" si="13"/>
        <v>1781.735883457372</v>
      </c>
    </row>
    <row r="164" spans="1:5" x14ac:dyDescent="0.25">
      <c r="A164">
        <f t="shared" si="14"/>
        <v>154</v>
      </c>
      <c r="B164" s="4">
        <f t="shared" si="10"/>
        <v>600708.26038575755</v>
      </c>
      <c r="C164" s="4">
        <f t="shared" si="11"/>
        <v>4417.6296171351869</v>
      </c>
      <c r="D164" s="4">
        <f t="shared" si="12"/>
        <v>2628.0986391876891</v>
      </c>
      <c r="E164" s="4">
        <f t="shared" si="13"/>
        <v>1789.5309779474978</v>
      </c>
    </row>
    <row r="165" spans="1:5" x14ac:dyDescent="0.25">
      <c r="A165">
        <f t="shared" si="14"/>
        <v>155</v>
      </c>
      <c r="B165" s="4">
        <f t="shared" si="10"/>
        <v>598918.72940781002</v>
      </c>
      <c r="C165" s="4">
        <f t="shared" si="11"/>
        <v>4417.6296171351869</v>
      </c>
      <c r="D165" s="4">
        <f t="shared" si="12"/>
        <v>2620.2694411591688</v>
      </c>
      <c r="E165" s="4">
        <f t="shared" si="13"/>
        <v>1797.3601759760181</v>
      </c>
    </row>
    <row r="166" spans="1:5" x14ac:dyDescent="0.25">
      <c r="A166">
        <f t="shared" si="14"/>
        <v>156</v>
      </c>
      <c r="B166" s="4">
        <f t="shared" si="10"/>
        <v>597121.36923183396</v>
      </c>
      <c r="C166" s="4">
        <f t="shared" si="11"/>
        <v>4417.6296171351869</v>
      </c>
      <c r="D166" s="4">
        <f t="shared" si="12"/>
        <v>2612.4059903892735</v>
      </c>
      <c r="E166" s="4">
        <f t="shared" si="13"/>
        <v>1805.2236267459134</v>
      </c>
    </row>
    <row r="167" spans="1:5" x14ac:dyDescent="0.25">
      <c r="A167">
        <f t="shared" si="14"/>
        <v>157</v>
      </c>
      <c r="B167" s="4">
        <f t="shared" si="10"/>
        <v>595316.1456050881</v>
      </c>
      <c r="C167" s="4">
        <f t="shared" si="11"/>
        <v>4417.6296171351869</v>
      </c>
      <c r="D167" s="4">
        <f t="shared" si="12"/>
        <v>2604.5081370222601</v>
      </c>
      <c r="E167" s="4">
        <f t="shared" si="13"/>
        <v>1813.1214801129267</v>
      </c>
    </row>
    <row r="168" spans="1:5" x14ac:dyDescent="0.25">
      <c r="A168">
        <f t="shared" si="14"/>
        <v>158</v>
      </c>
      <c r="B168" s="4">
        <f t="shared" si="10"/>
        <v>593503.0241249752</v>
      </c>
      <c r="C168" s="4">
        <f t="shared" si="11"/>
        <v>4417.6296171351869</v>
      </c>
      <c r="D168" s="4">
        <f t="shared" si="12"/>
        <v>2596.5757305467664</v>
      </c>
      <c r="E168" s="4">
        <f t="shared" si="13"/>
        <v>1821.0538865884205</v>
      </c>
    </row>
    <row r="169" spans="1:5" x14ac:dyDescent="0.25">
      <c r="A169">
        <f t="shared" si="14"/>
        <v>159</v>
      </c>
      <c r="B169" s="4">
        <f t="shared" si="10"/>
        <v>591681.97023838677</v>
      </c>
      <c r="C169" s="4">
        <f t="shared" si="11"/>
        <v>4417.6296171351869</v>
      </c>
      <c r="D169" s="4">
        <f t="shared" si="12"/>
        <v>2588.6086197929417</v>
      </c>
      <c r="E169" s="4">
        <f t="shared" si="13"/>
        <v>1829.0209973422452</v>
      </c>
    </row>
    <row r="170" spans="1:5" x14ac:dyDescent="0.25">
      <c r="A170">
        <f t="shared" si="14"/>
        <v>160</v>
      </c>
      <c r="B170" s="4">
        <f t="shared" si="10"/>
        <v>589852.94924104458</v>
      </c>
      <c r="C170" s="4">
        <f t="shared" si="11"/>
        <v>4417.6296171351869</v>
      </c>
      <c r="D170" s="4">
        <f t="shared" si="12"/>
        <v>2580.6066529295699</v>
      </c>
      <c r="E170" s="4">
        <f t="shared" si="13"/>
        <v>1837.022964205617</v>
      </c>
    </row>
    <row r="171" spans="1:5" x14ac:dyDescent="0.25">
      <c r="A171">
        <f t="shared" si="14"/>
        <v>161</v>
      </c>
      <c r="B171" s="4">
        <f t="shared" si="10"/>
        <v>588015.92627683899</v>
      </c>
      <c r="C171" s="4">
        <f t="shared" si="11"/>
        <v>4417.6296171351869</v>
      </c>
      <c r="D171" s="4">
        <f t="shared" si="12"/>
        <v>2572.5696774611702</v>
      </c>
      <c r="E171" s="4">
        <f t="shared" si="13"/>
        <v>1845.0599396740167</v>
      </c>
    </row>
    <row r="172" spans="1:5" x14ac:dyDescent="0.25">
      <c r="A172">
        <f t="shared" si="14"/>
        <v>162</v>
      </c>
      <c r="B172" s="4">
        <f t="shared" si="10"/>
        <v>586170.866337165</v>
      </c>
      <c r="C172" s="4">
        <f t="shared" si="11"/>
        <v>4417.6296171351869</v>
      </c>
      <c r="D172" s="4">
        <f t="shared" si="12"/>
        <v>2564.4975402250966</v>
      </c>
      <c r="E172" s="4">
        <f t="shared" si="13"/>
        <v>1853.1320769100903</v>
      </c>
    </row>
    <row r="173" spans="1:5" x14ac:dyDescent="0.25">
      <c r="A173">
        <f t="shared" si="14"/>
        <v>163</v>
      </c>
      <c r="B173" s="4">
        <f t="shared" si="10"/>
        <v>584317.73426025489</v>
      </c>
      <c r="C173" s="4">
        <f t="shared" si="11"/>
        <v>4417.6296171351869</v>
      </c>
      <c r="D173" s="4">
        <f t="shared" si="12"/>
        <v>2556.390087388615</v>
      </c>
      <c r="E173" s="4">
        <f t="shared" si="13"/>
        <v>1861.2395297465719</v>
      </c>
    </row>
    <row r="174" spans="1:5" x14ac:dyDescent="0.25">
      <c r="A174">
        <f t="shared" si="14"/>
        <v>164</v>
      </c>
      <c r="B174" s="4">
        <f t="shared" si="10"/>
        <v>582456.4947305083</v>
      </c>
      <c r="C174" s="4">
        <f t="shared" si="11"/>
        <v>4417.6296171351869</v>
      </c>
      <c r="D174" s="4">
        <f t="shared" si="12"/>
        <v>2548.2471644459738</v>
      </c>
      <c r="E174" s="4">
        <f t="shared" si="13"/>
        <v>1869.3824526892131</v>
      </c>
    </row>
    <row r="175" spans="1:5" x14ac:dyDescent="0.25">
      <c r="A175">
        <f t="shared" si="14"/>
        <v>165</v>
      </c>
      <c r="B175" s="4">
        <f t="shared" si="10"/>
        <v>580587.11227781908</v>
      </c>
      <c r="C175" s="4">
        <f t="shared" si="11"/>
        <v>4417.6296171351869</v>
      </c>
      <c r="D175" s="4">
        <f t="shared" si="12"/>
        <v>2540.0686162154584</v>
      </c>
      <c r="E175" s="4">
        <f t="shared" si="13"/>
        <v>1877.5610009197285</v>
      </c>
    </row>
    <row r="176" spans="1:5" x14ac:dyDescent="0.25">
      <c r="A176">
        <f t="shared" si="14"/>
        <v>166</v>
      </c>
      <c r="B176" s="4">
        <f t="shared" si="10"/>
        <v>578709.55127689929</v>
      </c>
      <c r="C176" s="4">
        <f t="shared" si="11"/>
        <v>4417.6296171351869</v>
      </c>
      <c r="D176" s="4">
        <f t="shared" si="12"/>
        <v>2531.8542868364343</v>
      </c>
      <c r="E176" s="4">
        <f t="shared" si="13"/>
        <v>1885.7753302987526</v>
      </c>
    </row>
    <row r="177" spans="1:5" x14ac:dyDescent="0.25">
      <c r="A177">
        <f t="shared" si="14"/>
        <v>167</v>
      </c>
      <c r="B177" s="4">
        <f t="shared" si="10"/>
        <v>576823.7759466006</v>
      </c>
      <c r="C177" s="4">
        <f t="shared" si="11"/>
        <v>4417.6296171351869</v>
      </c>
      <c r="D177" s="4">
        <f t="shared" si="12"/>
        <v>2523.6040197663774</v>
      </c>
      <c r="E177" s="4">
        <f t="shared" si="13"/>
        <v>1894.0255973688095</v>
      </c>
    </row>
    <row r="178" spans="1:5" x14ac:dyDescent="0.25">
      <c r="A178">
        <f t="shared" si="14"/>
        <v>168</v>
      </c>
      <c r="B178" s="4">
        <f t="shared" si="10"/>
        <v>574929.75034923176</v>
      </c>
      <c r="C178" s="4">
        <f t="shared" si="11"/>
        <v>4417.6296171351869</v>
      </c>
      <c r="D178" s="4">
        <f t="shared" si="12"/>
        <v>2515.3176577778886</v>
      </c>
      <c r="E178" s="4">
        <f t="shared" si="13"/>
        <v>1902.3119593572983</v>
      </c>
    </row>
    <row r="179" spans="1:5" x14ac:dyDescent="0.25">
      <c r="A179">
        <f t="shared" si="14"/>
        <v>169</v>
      </c>
      <c r="B179" s="4">
        <f t="shared" si="10"/>
        <v>573027.43838987441</v>
      </c>
      <c r="C179" s="4">
        <f t="shared" si="11"/>
        <v>4417.6296171351869</v>
      </c>
      <c r="D179" s="4">
        <f t="shared" si="12"/>
        <v>2506.9950429557002</v>
      </c>
      <c r="E179" s="4">
        <f t="shared" si="13"/>
        <v>1910.6345741794867</v>
      </c>
    </row>
    <row r="180" spans="1:5" x14ac:dyDescent="0.25">
      <c r="A180">
        <f t="shared" si="14"/>
        <v>170</v>
      </c>
      <c r="B180" s="4">
        <f t="shared" si="10"/>
        <v>571116.80381569488</v>
      </c>
      <c r="C180" s="4">
        <f t="shared" si="11"/>
        <v>4417.6296171351869</v>
      </c>
      <c r="D180" s="4">
        <f t="shared" si="12"/>
        <v>2498.6360166936647</v>
      </c>
      <c r="E180" s="4">
        <f t="shared" si="13"/>
        <v>1918.9936004415222</v>
      </c>
    </row>
    <row r="181" spans="1:5" x14ac:dyDescent="0.25">
      <c r="A181">
        <f t="shared" si="14"/>
        <v>171</v>
      </c>
      <c r="B181" s="4">
        <f t="shared" si="10"/>
        <v>569197.81021525338</v>
      </c>
      <c r="C181" s="4">
        <f t="shared" si="11"/>
        <v>4417.6296171351869</v>
      </c>
      <c r="D181" s="4">
        <f t="shared" si="12"/>
        <v>2490.2404196917332</v>
      </c>
      <c r="E181" s="4">
        <f t="shared" si="13"/>
        <v>1927.3891974434537</v>
      </c>
    </row>
    <row r="182" spans="1:5" x14ac:dyDescent="0.25">
      <c r="A182">
        <f t="shared" si="14"/>
        <v>172</v>
      </c>
      <c r="B182" s="4">
        <f t="shared" si="10"/>
        <v>567270.42101780989</v>
      </c>
      <c r="C182" s="4">
        <f t="shared" si="11"/>
        <v>4417.6296171351869</v>
      </c>
      <c r="D182" s="4">
        <f t="shared" si="12"/>
        <v>2481.8080919529179</v>
      </c>
      <c r="E182" s="4">
        <f t="shared" si="13"/>
        <v>1935.8215251822689</v>
      </c>
    </row>
    <row r="183" spans="1:5" x14ac:dyDescent="0.25">
      <c r="A183">
        <f t="shared" si="14"/>
        <v>173</v>
      </c>
      <c r="B183" s="4">
        <f t="shared" si="10"/>
        <v>565334.59949262766</v>
      </c>
      <c r="C183" s="4">
        <f t="shared" si="11"/>
        <v>4417.6296171351869</v>
      </c>
      <c r="D183" s="4">
        <f t="shared" si="12"/>
        <v>2473.3388727802458</v>
      </c>
      <c r="E183" s="4">
        <f t="shared" si="13"/>
        <v>1944.2907443549411</v>
      </c>
    </row>
    <row r="184" spans="1:5" x14ac:dyDescent="0.25">
      <c r="A184">
        <f t="shared" si="14"/>
        <v>174</v>
      </c>
      <c r="B184" s="4">
        <f t="shared" si="10"/>
        <v>563390.30874827271</v>
      </c>
      <c r="C184" s="4">
        <f t="shared" si="11"/>
        <v>4417.6296171351869</v>
      </c>
      <c r="D184" s="4">
        <f t="shared" si="12"/>
        <v>2464.8326007736928</v>
      </c>
      <c r="E184" s="4">
        <f t="shared" si="13"/>
        <v>1952.7970163614941</v>
      </c>
    </row>
    <row r="185" spans="1:5" x14ac:dyDescent="0.25">
      <c r="A185">
        <f t="shared" si="14"/>
        <v>175</v>
      </c>
      <c r="B185" s="4">
        <f t="shared" si="10"/>
        <v>561437.51173191122</v>
      </c>
      <c r="C185" s="4">
        <f t="shared" si="11"/>
        <v>4417.6296171351869</v>
      </c>
      <c r="D185" s="4">
        <f t="shared" si="12"/>
        <v>2456.2891138271111</v>
      </c>
      <c r="E185" s="4">
        <f t="shared" si="13"/>
        <v>1961.3405033080758</v>
      </c>
    </row>
    <row r="186" spans="1:5" x14ac:dyDescent="0.25">
      <c r="A186">
        <f t="shared" si="14"/>
        <v>176</v>
      </c>
      <c r="B186" s="4">
        <f t="shared" si="10"/>
        <v>559476.17122860311</v>
      </c>
      <c r="C186" s="4">
        <f t="shared" si="11"/>
        <v>4417.6296171351869</v>
      </c>
      <c r="D186" s="4">
        <f t="shared" si="12"/>
        <v>2447.7082491251385</v>
      </c>
      <c r="E186" s="4">
        <f t="shared" si="13"/>
        <v>1969.9213680100484</v>
      </c>
    </row>
    <row r="187" spans="1:5" x14ac:dyDescent="0.25">
      <c r="A187">
        <f t="shared" si="14"/>
        <v>177</v>
      </c>
      <c r="B187" s="4">
        <f t="shared" si="10"/>
        <v>557506.24986059312</v>
      </c>
      <c r="C187" s="4">
        <f t="shared" si="11"/>
        <v>4417.6296171351869</v>
      </c>
      <c r="D187" s="4">
        <f t="shared" si="12"/>
        <v>2439.0898431400947</v>
      </c>
      <c r="E187" s="4">
        <f t="shared" si="13"/>
        <v>1978.5397739950922</v>
      </c>
    </row>
    <row r="188" spans="1:5" x14ac:dyDescent="0.25">
      <c r="A188">
        <f t="shared" si="14"/>
        <v>178</v>
      </c>
      <c r="B188" s="4">
        <f t="shared" si="10"/>
        <v>555527.71008659806</v>
      </c>
      <c r="C188" s="4">
        <f t="shared" si="11"/>
        <v>4417.6296171351869</v>
      </c>
      <c r="D188" s="4">
        <f t="shared" si="12"/>
        <v>2430.4337316288661</v>
      </c>
      <c r="E188" s="4">
        <f t="shared" si="13"/>
        <v>1987.1958855063208</v>
      </c>
    </row>
    <row r="189" spans="1:5" x14ac:dyDescent="0.25">
      <c r="A189">
        <f t="shared" si="14"/>
        <v>179</v>
      </c>
      <c r="B189" s="4">
        <f t="shared" si="10"/>
        <v>553540.51420109172</v>
      </c>
      <c r="C189" s="4">
        <f t="shared" si="11"/>
        <v>4417.6296171351869</v>
      </c>
      <c r="D189" s="4">
        <f t="shared" si="12"/>
        <v>2421.7397496297758</v>
      </c>
      <c r="E189" s="4">
        <f t="shared" si="13"/>
        <v>1995.8898675054111</v>
      </c>
    </row>
    <row r="190" spans="1:5" x14ac:dyDescent="0.25">
      <c r="A190">
        <f t="shared" si="14"/>
        <v>180</v>
      </c>
      <c r="B190" s="4">
        <f t="shared" si="10"/>
        <v>551544.62433358631</v>
      </c>
      <c r="C190" s="4">
        <f t="shared" si="11"/>
        <v>4417.6296171351869</v>
      </c>
      <c r="D190" s="4">
        <f t="shared" si="12"/>
        <v>2413.00773145944</v>
      </c>
      <c r="E190" s="4">
        <f t="shared" si="13"/>
        <v>2004.6218856757469</v>
      </c>
    </row>
    <row r="191" spans="1:5" x14ac:dyDescent="0.25">
      <c r="A191">
        <f t="shared" si="14"/>
        <v>181</v>
      </c>
      <c r="B191" s="4">
        <f t="shared" si="10"/>
        <v>549540.00244791061</v>
      </c>
      <c r="C191" s="4">
        <f t="shared" si="11"/>
        <v>4417.6296171351869</v>
      </c>
      <c r="D191" s="4">
        <f t="shared" si="12"/>
        <v>2404.2375107096086</v>
      </c>
      <c r="E191" s="4">
        <f t="shared" si="13"/>
        <v>2013.3921064255783</v>
      </c>
    </row>
    <row r="192" spans="1:5" x14ac:dyDescent="0.25">
      <c r="A192">
        <f t="shared" si="14"/>
        <v>182</v>
      </c>
      <c r="B192" s="4">
        <f t="shared" si="10"/>
        <v>547526.61034148501</v>
      </c>
      <c r="C192" s="4">
        <f t="shared" si="11"/>
        <v>4417.6296171351869</v>
      </c>
      <c r="D192" s="4">
        <f t="shared" si="12"/>
        <v>2395.4289202439968</v>
      </c>
      <c r="E192" s="4">
        <f t="shared" si="13"/>
        <v>2022.2006968911901</v>
      </c>
    </row>
    <row r="193" spans="1:5" x14ac:dyDescent="0.25">
      <c r="A193">
        <f t="shared" si="14"/>
        <v>183</v>
      </c>
      <c r="B193" s="4">
        <f t="shared" si="10"/>
        <v>545504.40964459383</v>
      </c>
      <c r="C193" s="4">
        <f t="shared" si="11"/>
        <v>4417.6296171351869</v>
      </c>
      <c r="D193" s="4">
        <f t="shared" si="12"/>
        <v>2386.5817921950979</v>
      </c>
      <c r="E193" s="4">
        <f t="shared" si="13"/>
        <v>2031.047824940089</v>
      </c>
    </row>
    <row r="194" spans="1:5" x14ac:dyDescent="0.25">
      <c r="A194">
        <f t="shared" si="14"/>
        <v>184</v>
      </c>
      <c r="B194" s="4">
        <f t="shared" si="10"/>
        <v>543473.36181965377</v>
      </c>
      <c r="C194" s="4">
        <f t="shared" si="11"/>
        <v>4417.6296171351869</v>
      </c>
      <c r="D194" s="4">
        <f t="shared" si="12"/>
        <v>2377.6959579609852</v>
      </c>
      <c r="E194" s="4">
        <f t="shared" si="13"/>
        <v>2039.9336591742017</v>
      </c>
    </row>
    <row r="195" spans="1:5" x14ac:dyDescent="0.25">
      <c r="A195">
        <f t="shared" si="14"/>
        <v>185</v>
      </c>
      <c r="B195" s="4">
        <f t="shared" si="10"/>
        <v>541433.42816047953</v>
      </c>
      <c r="C195" s="4">
        <f t="shared" si="11"/>
        <v>4417.6296171351869</v>
      </c>
      <c r="D195" s="4">
        <f t="shared" si="12"/>
        <v>2368.7712482020975</v>
      </c>
      <c r="E195" s="4">
        <f t="shared" si="13"/>
        <v>2048.8583689330894</v>
      </c>
    </row>
    <row r="196" spans="1:5" x14ac:dyDescent="0.25">
      <c r="A196">
        <f t="shared" si="14"/>
        <v>186</v>
      </c>
      <c r="B196" s="4">
        <f t="shared" si="10"/>
        <v>539384.56979154644</v>
      </c>
      <c r="C196" s="4">
        <f t="shared" si="11"/>
        <v>4417.6296171351869</v>
      </c>
      <c r="D196" s="4">
        <f t="shared" si="12"/>
        <v>2359.8074928380156</v>
      </c>
      <c r="E196" s="4">
        <f t="shared" si="13"/>
        <v>2057.8221242971713</v>
      </c>
    </row>
    <row r="197" spans="1:5" x14ac:dyDescent="0.25">
      <c r="A197">
        <f t="shared" si="14"/>
        <v>187</v>
      </c>
      <c r="B197" s="4">
        <f t="shared" si="10"/>
        <v>537326.74766724929</v>
      </c>
      <c r="C197" s="4">
        <f t="shared" si="11"/>
        <v>4417.6296171351869</v>
      </c>
      <c r="D197" s="4">
        <f t="shared" si="12"/>
        <v>2350.8045210442156</v>
      </c>
      <c r="E197" s="4">
        <f t="shared" si="13"/>
        <v>2066.8250960909713</v>
      </c>
    </row>
    <row r="198" spans="1:5" x14ac:dyDescent="0.25">
      <c r="A198">
        <f t="shared" si="14"/>
        <v>188</v>
      </c>
      <c r="B198" s="4">
        <f t="shared" si="10"/>
        <v>535259.92257115827</v>
      </c>
      <c r="C198" s="4">
        <f t="shared" si="11"/>
        <v>4417.6296171351869</v>
      </c>
      <c r="D198" s="4">
        <f t="shared" si="12"/>
        <v>2341.7621612488174</v>
      </c>
      <c r="E198" s="4">
        <f t="shared" si="13"/>
        <v>2075.8674558863695</v>
      </c>
    </row>
    <row r="199" spans="1:5" x14ac:dyDescent="0.25">
      <c r="A199">
        <f t="shared" si="14"/>
        <v>189</v>
      </c>
      <c r="B199" s="4">
        <f t="shared" si="10"/>
        <v>533184.05511527194</v>
      </c>
      <c r="C199" s="4">
        <f t="shared" si="11"/>
        <v>4417.6296171351869</v>
      </c>
      <c r="D199" s="4">
        <f t="shared" si="12"/>
        <v>2332.6802411293147</v>
      </c>
      <c r="E199" s="4">
        <f t="shared" si="13"/>
        <v>2084.9493760058722</v>
      </c>
    </row>
    <row r="200" spans="1:5" x14ac:dyDescent="0.25">
      <c r="A200">
        <f t="shared" si="14"/>
        <v>190</v>
      </c>
      <c r="B200" s="4">
        <f t="shared" si="10"/>
        <v>531099.10573926603</v>
      </c>
      <c r="C200" s="4">
        <f t="shared" si="11"/>
        <v>4417.6296171351869</v>
      </c>
      <c r="D200" s="4">
        <f t="shared" si="12"/>
        <v>2323.5585876092887</v>
      </c>
      <c r="E200" s="4">
        <f t="shared" si="13"/>
        <v>2094.0710295258982</v>
      </c>
    </row>
    <row r="201" spans="1:5" x14ac:dyDescent="0.25">
      <c r="A201">
        <f t="shared" si="14"/>
        <v>191</v>
      </c>
      <c r="B201" s="4">
        <f t="shared" si="10"/>
        <v>529005.03470974008</v>
      </c>
      <c r="C201" s="4">
        <f t="shared" si="11"/>
        <v>4417.6296171351869</v>
      </c>
      <c r="D201" s="4">
        <f t="shared" si="12"/>
        <v>2314.3970268551125</v>
      </c>
      <c r="E201" s="4">
        <f t="shared" si="13"/>
        <v>2103.2325902800744</v>
      </c>
    </row>
    <row r="202" spans="1:5" x14ac:dyDescent="0.25">
      <c r="A202">
        <f t="shared" si="14"/>
        <v>192</v>
      </c>
      <c r="B202" s="4">
        <f t="shared" si="10"/>
        <v>526901.80211945996</v>
      </c>
      <c r="C202" s="4">
        <f t="shared" si="11"/>
        <v>4417.6296171351869</v>
      </c>
      <c r="D202" s="4">
        <f t="shared" si="12"/>
        <v>2305.1953842726371</v>
      </c>
      <c r="E202" s="4">
        <f t="shared" si="13"/>
        <v>2112.4342328625498</v>
      </c>
    </row>
    <row r="203" spans="1:5" x14ac:dyDescent="0.25">
      <c r="A203">
        <f t="shared" si="14"/>
        <v>193</v>
      </c>
      <c r="B203" s="4">
        <f t="shared" si="10"/>
        <v>524789.36788659741</v>
      </c>
      <c r="C203" s="4">
        <f t="shared" si="11"/>
        <v>4417.6296171351869</v>
      </c>
      <c r="D203" s="4">
        <f t="shared" si="12"/>
        <v>2295.9534845038634</v>
      </c>
      <c r="E203" s="4">
        <f t="shared" si="13"/>
        <v>2121.6761326313235</v>
      </c>
    </row>
    <row r="204" spans="1:5" x14ac:dyDescent="0.25">
      <c r="A204">
        <f t="shared" si="14"/>
        <v>194</v>
      </c>
      <c r="B204" s="4">
        <f t="shared" si="10"/>
        <v>522667.69175396609</v>
      </c>
      <c r="C204" s="4">
        <f t="shared" si="11"/>
        <v>4417.6296171351869</v>
      </c>
      <c r="D204" s="4">
        <f t="shared" si="12"/>
        <v>2286.6711514236013</v>
      </c>
      <c r="E204" s="4">
        <f t="shared" si="13"/>
        <v>2130.9584657115856</v>
      </c>
    </row>
    <row r="205" spans="1:5" x14ac:dyDescent="0.25">
      <c r="A205">
        <f t="shared" si="14"/>
        <v>195</v>
      </c>
      <c r="B205" s="4">
        <f t="shared" ref="B205:B268" si="15">B204-E204</f>
        <v>520536.73328825453</v>
      </c>
      <c r="C205" s="4">
        <f t="shared" ref="C205:C268" si="16">$B$7</f>
        <v>4417.6296171351869</v>
      </c>
      <c r="D205" s="4">
        <f t="shared" ref="D205:D268" si="17">$B$5*B205</f>
        <v>2277.3482081361135</v>
      </c>
      <c r="E205" s="4">
        <f t="shared" ref="E205:E268" si="18">C205-D205</f>
        <v>2140.2814089990734</v>
      </c>
    </row>
    <row r="206" spans="1:5" x14ac:dyDescent="0.25">
      <c r="A206">
        <f t="shared" ref="A206:A269" si="19">A205+1</f>
        <v>196</v>
      </c>
      <c r="B206" s="4">
        <f t="shared" si="15"/>
        <v>518396.45187925547</v>
      </c>
      <c r="C206" s="4">
        <f t="shared" si="16"/>
        <v>4417.6296171351869</v>
      </c>
      <c r="D206" s="4">
        <f t="shared" si="17"/>
        <v>2267.9844769717424</v>
      </c>
      <c r="E206" s="4">
        <f t="shared" si="18"/>
        <v>2149.6451401634445</v>
      </c>
    </row>
    <row r="207" spans="1:5" x14ac:dyDescent="0.25">
      <c r="A207">
        <f t="shared" si="19"/>
        <v>197</v>
      </c>
      <c r="B207" s="4">
        <f t="shared" si="15"/>
        <v>516246.80673909205</v>
      </c>
      <c r="C207" s="4">
        <f t="shared" si="16"/>
        <v>4417.6296171351869</v>
      </c>
      <c r="D207" s="4">
        <f t="shared" si="17"/>
        <v>2258.5797794835275</v>
      </c>
      <c r="E207" s="4">
        <f t="shared" si="18"/>
        <v>2159.0498376516593</v>
      </c>
    </row>
    <row r="208" spans="1:5" x14ac:dyDescent="0.25">
      <c r="A208">
        <f t="shared" si="19"/>
        <v>198</v>
      </c>
      <c r="B208" s="4">
        <f t="shared" si="15"/>
        <v>514087.75690144039</v>
      </c>
      <c r="C208" s="4">
        <f t="shared" si="16"/>
        <v>4417.6296171351869</v>
      </c>
      <c r="D208" s="4">
        <f t="shared" si="17"/>
        <v>2249.1339364438013</v>
      </c>
      <c r="E208" s="4">
        <f t="shared" si="18"/>
        <v>2168.4956806913856</v>
      </c>
    </row>
    <row r="209" spans="1:5" x14ac:dyDescent="0.25">
      <c r="A209">
        <f t="shared" si="19"/>
        <v>199</v>
      </c>
      <c r="B209" s="4">
        <f t="shared" si="15"/>
        <v>511919.261220749</v>
      </c>
      <c r="C209" s="4">
        <f t="shared" si="16"/>
        <v>4417.6296171351869</v>
      </c>
      <c r="D209" s="4">
        <f t="shared" si="17"/>
        <v>2239.6467678407766</v>
      </c>
      <c r="E209" s="4">
        <f t="shared" si="18"/>
        <v>2177.9828492944102</v>
      </c>
    </row>
    <row r="210" spans="1:5" x14ac:dyDescent="0.25">
      <c r="A210">
        <f t="shared" si="19"/>
        <v>200</v>
      </c>
      <c r="B210" s="4">
        <f t="shared" si="15"/>
        <v>509741.27837145457</v>
      </c>
      <c r="C210" s="4">
        <f t="shared" si="16"/>
        <v>4417.6296171351869</v>
      </c>
      <c r="D210" s="4">
        <f t="shared" si="17"/>
        <v>2230.1180928751137</v>
      </c>
      <c r="E210" s="4">
        <f t="shared" si="18"/>
        <v>2187.5115242600732</v>
      </c>
    </row>
    <row r="211" spans="1:5" x14ac:dyDescent="0.25">
      <c r="A211">
        <f t="shared" si="19"/>
        <v>201</v>
      </c>
      <c r="B211" s="4">
        <f t="shared" si="15"/>
        <v>507553.76684719452</v>
      </c>
      <c r="C211" s="4">
        <f t="shared" si="16"/>
        <v>4417.6296171351869</v>
      </c>
      <c r="D211" s="4">
        <f t="shared" si="17"/>
        <v>2220.5477299564759</v>
      </c>
      <c r="E211" s="4">
        <f t="shared" si="18"/>
        <v>2197.081887178711</v>
      </c>
    </row>
    <row r="212" spans="1:5" x14ac:dyDescent="0.25">
      <c r="A212">
        <f t="shared" si="19"/>
        <v>202</v>
      </c>
      <c r="B212" s="4">
        <f t="shared" si="15"/>
        <v>505356.68496001582</v>
      </c>
      <c r="C212" s="4">
        <f t="shared" si="16"/>
        <v>4417.6296171351869</v>
      </c>
      <c r="D212" s="4">
        <f t="shared" si="17"/>
        <v>2210.9354967000691</v>
      </c>
      <c r="E212" s="4">
        <f t="shared" si="18"/>
        <v>2206.6941204351178</v>
      </c>
    </row>
    <row r="213" spans="1:5" x14ac:dyDescent="0.25">
      <c r="A213">
        <f t="shared" si="19"/>
        <v>203</v>
      </c>
      <c r="B213" s="4">
        <f t="shared" si="15"/>
        <v>503149.99083958071</v>
      </c>
      <c r="C213" s="4">
        <f t="shared" si="16"/>
        <v>4417.6296171351869</v>
      </c>
      <c r="D213" s="4">
        <f t="shared" si="17"/>
        <v>2201.2812099231655</v>
      </c>
      <c r="E213" s="4">
        <f t="shared" si="18"/>
        <v>2216.3484072120214</v>
      </c>
    </row>
    <row r="214" spans="1:5" x14ac:dyDescent="0.25">
      <c r="A214">
        <f t="shared" si="19"/>
        <v>204</v>
      </c>
      <c r="B214" s="4">
        <f t="shared" si="15"/>
        <v>500933.64243236871</v>
      </c>
      <c r="C214" s="4">
        <f t="shared" si="16"/>
        <v>4417.6296171351869</v>
      </c>
      <c r="D214" s="4">
        <f t="shared" si="17"/>
        <v>2191.5846856416129</v>
      </c>
      <c r="E214" s="4">
        <f t="shared" si="18"/>
        <v>2226.044931493574</v>
      </c>
    </row>
    <row r="215" spans="1:5" x14ac:dyDescent="0.25">
      <c r="A215">
        <f t="shared" si="19"/>
        <v>205</v>
      </c>
      <c r="B215" s="4">
        <f t="shared" si="15"/>
        <v>498707.59750087513</v>
      </c>
      <c r="C215" s="4">
        <f t="shared" si="16"/>
        <v>4417.6296171351869</v>
      </c>
      <c r="D215" s="4">
        <f t="shared" si="17"/>
        <v>2181.8457390663284</v>
      </c>
      <c r="E215" s="4">
        <f t="shared" si="18"/>
        <v>2235.7838780688585</v>
      </c>
    </row>
    <row r="216" spans="1:5" x14ac:dyDescent="0.25">
      <c r="A216">
        <f t="shared" si="19"/>
        <v>206</v>
      </c>
      <c r="B216" s="4">
        <f t="shared" si="15"/>
        <v>496471.81362280628</v>
      </c>
      <c r="C216" s="4">
        <f t="shared" si="16"/>
        <v>4417.6296171351869</v>
      </c>
      <c r="D216" s="4">
        <f t="shared" si="17"/>
        <v>2172.064184599777</v>
      </c>
      <c r="E216" s="4">
        <f t="shared" si="18"/>
        <v>2245.5654325354099</v>
      </c>
    </row>
    <row r="217" spans="1:5" x14ac:dyDescent="0.25">
      <c r="A217">
        <f t="shared" si="19"/>
        <v>207</v>
      </c>
      <c r="B217" s="4">
        <f t="shared" si="15"/>
        <v>494226.24819027085</v>
      </c>
      <c r="C217" s="4">
        <f t="shared" si="16"/>
        <v>4417.6296171351869</v>
      </c>
      <c r="D217" s="4">
        <f t="shared" si="17"/>
        <v>2162.2398358324349</v>
      </c>
      <c r="E217" s="4">
        <f t="shared" si="18"/>
        <v>2255.389781302752</v>
      </c>
    </row>
    <row r="218" spans="1:5" x14ac:dyDescent="0.25">
      <c r="A218">
        <f t="shared" si="19"/>
        <v>208</v>
      </c>
      <c r="B218" s="4">
        <f t="shared" si="15"/>
        <v>491970.85840896808</v>
      </c>
      <c r="C218" s="4">
        <f t="shared" si="16"/>
        <v>4417.6296171351869</v>
      </c>
      <c r="D218" s="4">
        <f t="shared" si="17"/>
        <v>2152.3725055392351</v>
      </c>
      <c r="E218" s="4">
        <f t="shared" si="18"/>
        <v>2265.2571115959518</v>
      </c>
    </row>
    <row r="219" spans="1:5" x14ac:dyDescent="0.25">
      <c r="A219">
        <f t="shared" si="19"/>
        <v>209</v>
      </c>
      <c r="B219" s="4">
        <f t="shared" si="15"/>
        <v>489705.60129737214</v>
      </c>
      <c r="C219" s="4">
        <f t="shared" si="16"/>
        <v>4417.6296171351869</v>
      </c>
      <c r="D219" s="4">
        <f t="shared" si="17"/>
        <v>2142.4620056760027</v>
      </c>
      <c r="E219" s="4">
        <f t="shared" si="18"/>
        <v>2275.1676114591842</v>
      </c>
    </row>
    <row r="220" spans="1:5" x14ac:dyDescent="0.25">
      <c r="A220">
        <f t="shared" si="19"/>
        <v>210</v>
      </c>
      <c r="B220" s="4">
        <f t="shared" si="15"/>
        <v>487430.43368591293</v>
      </c>
      <c r="C220" s="4">
        <f t="shared" si="16"/>
        <v>4417.6296171351869</v>
      </c>
      <c r="D220" s="4">
        <f t="shared" si="17"/>
        <v>2132.5081473758687</v>
      </c>
      <c r="E220" s="4">
        <f t="shared" si="18"/>
        <v>2285.1214697593182</v>
      </c>
    </row>
    <row r="221" spans="1:5" x14ac:dyDescent="0.25">
      <c r="A221">
        <f t="shared" si="19"/>
        <v>211</v>
      </c>
      <c r="B221" s="4">
        <f t="shared" si="15"/>
        <v>485145.3122161536</v>
      </c>
      <c r="C221" s="4">
        <f t="shared" si="16"/>
        <v>4417.6296171351869</v>
      </c>
      <c r="D221" s="4">
        <f t="shared" si="17"/>
        <v>2122.5107409456718</v>
      </c>
      <c r="E221" s="4">
        <f t="shared" si="18"/>
        <v>2295.118876189515</v>
      </c>
    </row>
    <row r="222" spans="1:5" x14ac:dyDescent="0.25">
      <c r="A222">
        <f t="shared" si="19"/>
        <v>212</v>
      </c>
      <c r="B222" s="4">
        <f t="shared" si="15"/>
        <v>482850.19333996408</v>
      </c>
      <c r="C222" s="4">
        <f t="shared" si="16"/>
        <v>4417.6296171351869</v>
      </c>
      <c r="D222" s="4">
        <f t="shared" si="17"/>
        <v>2112.4695958623424</v>
      </c>
      <c r="E222" s="4">
        <f t="shared" si="18"/>
        <v>2305.1600212728445</v>
      </c>
    </row>
    <row r="223" spans="1:5" x14ac:dyDescent="0.25">
      <c r="A223">
        <f t="shared" si="19"/>
        <v>213</v>
      </c>
      <c r="B223" s="4">
        <f t="shared" si="15"/>
        <v>480545.03331869125</v>
      </c>
      <c r="C223" s="4">
        <f t="shared" si="16"/>
        <v>4417.6296171351869</v>
      </c>
      <c r="D223" s="4">
        <f t="shared" si="17"/>
        <v>2102.3845207692739</v>
      </c>
      <c r="E223" s="4">
        <f t="shared" si="18"/>
        <v>2315.245096365913</v>
      </c>
    </row>
    <row r="224" spans="1:5" x14ac:dyDescent="0.25">
      <c r="A224">
        <f t="shared" si="19"/>
        <v>214</v>
      </c>
      <c r="B224" s="4">
        <f t="shared" si="15"/>
        <v>478229.78822232533</v>
      </c>
      <c r="C224" s="4">
        <f t="shared" si="16"/>
        <v>4417.6296171351869</v>
      </c>
      <c r="D224" s="4">
        <f t="shared" si="17"/>
        <v>2092.2553234726729</v>
      </c>
      <c r="E224" s="4">
        <f t="shared" si="18"/>
        <v>2325.374293662514</v>
      </c>
    </row>
    <row r="225" spans="1:5" x14ac:dyDescent="0.25">
      <c r="A225">
        <f t="shared" si="19"/>
        <v>215</v>
      </c>
      <c r="B225" s="4">
        <f t="shared" si="15"/>
        <v>475904.41392866283</v>
      </c>
      <c r="C225" s="4">
        <f t="shared" si="16"/>
        <v>4417.6296171351869</v>
      </c>
      <c r="D225" s="4">
        <f t="shared" si="17"/>
        <v>2082.0818109378997</v>
      </c>
      <c r="E225" s="4">
        <f t="shared" si="18"/>
        <v>2335.5478061972872</v>
      </c>
    </row>
    <row r="226" spans="1:5" x14ac:dyDescent="0.25">
      <c r="A226">
        <f t="shared" si="19"/>
        <v>216</v>
      </c>
      <c r="B226" s="4">
        <f t="shared" si="15"/>
        <v>473568.86612246552</v>
      </c>
      <c r="C226" s="4">
        <f t="shared" si="16"/>
        <v>4417.6296171351869</v>
      </c>
      <c r="D226" s="4">
        <f t="shared" si="17"/>
        <v>2071.8637892857864</v>
      </c>
      <c r="E226" s="4">
        <f t="shared" si="18"/>
        <v>2345.7658278494005</v>
      </c>
    </row>
    <row r="227" spans="1:5" x14ac:dyDescent="0.25">
      <c r="A227">
        <f t="shared" si="19"/>
        <v>217</v>
      </c>
      <c r="B227" s="4">
        <f t="shared" si="15"/>
        <v>471223.10029461613</v>
      </c>
      <c r="C227" s="4">
        <f t="shared" si="16"/>
        <v>4417.6296171351869</v>
      </c>
      <c r="D227" s="4">
        <f t="shared" si="17"/>
        <v>2061.6010637889453</v>
      </c>
      <c r="E227" s="4">
        <f t="shared" si="18"/>
        <v>2356.0285533462416</v>
      </c>
    </row>
    <row r="228" spans="1:5" x14ac:dyDescent="0.25">
      <c r="A228">
        <f t="shared" si="19"/>
        <v>218</v>
      </c>
      <c r="B228" s="4">
        <f t="shared" si="15"/>
        <v>468867.0717412699</v>
      </c>
      <c r="C228" s="4">
        <f t="shared" si="16"/>
        <v>4417.6296171351869</v>
      </c>
      <c r="D228" s="4">
        <f t="shared" si="17"/>
        <v>2051.2934388680555</v>
      </c>
      <c r="E228" s="4">
        <f t="shared" si="18"/>
        <v>2366.3361782671313</v>
      </c>
    </row>
    <row r="229" spans="1:5" x14ac:dyDescent="0.25">
      <c r="A229">
        <f t="shared" si="19"/>
        <v>219</v>
      </c>
      <c r="B229" s="4">
        <f t="shared" si="15"/>
        <v>466500.73556300276</v>
      </c>
      <c r="C229" s="4">
        <f t="shared" si="16"/>
        <v>4417.6296171351869</v>
      </c>
      <c r="D229" s="4">
        <f t="shared" si="17"/>
        <v>2040.9407180881369</v>
      </c>
      <c r="E229" s="4">
        <f t="shared" si="18"/>
        <v>2376.6888990470497</v>
      </c>
    </row>
    <row r="230" spans="1:5" x14ac:dyDescent="0.25">
      <c r="A230">
        <f t="shared" si="19"/>
        <v>220</v>
      </c>
      <c r="B230" s="4">
        <f t="shared" si="15"/>
        <v>464124.04666395573</v>
      </c>
      <c r="C230" s="4">
        <f t="shared" si="16"/>
        <v>4417.6296171351869</v>
      </c>
      <c r="D230" s="4">
        <f t="shared" si="17"/>
        <v>2030.5427041548062</v>
      </c>
      <c r="E230" s="4">
        <f t="shared" si="18"/>
        <v>2387.0869129803805</v>
      </c>
    </row>
    <row r="231" spans="1:5" x14ac:dyDescent="0.25">
      <c r="A231">
        <f t="shared" si="19"/>
        <v>221</v>
      </c>
      <c r="B231" s="4">
        <f t="shared" si="15"/>
        <v>461736.95975097537</v>
      </c>
      <c r="C231" s="4">
        <f t="shared" si="16"/>
        <v>4417.6296171351869</v>
      </c>
      <c r="D231" s="4">
        <f t="shared" si="17"/>
        <v>2020.0991989105171</v>
      </c>
      <c r="E231" s="4">
        <f t="shared" si="18"/>
        <v>2397.53041822467</v>
      </c>
    </row>
    <row r="232" spans="1:5" x14ac:dyDescent="0.25">
      <c r="A232">
        <f t="shared" si="19"/>
        <v>222</v>
      </c>
      <c r="B232" s="4">
        <f t="shared" si="15"/>
        <v>459339.42933275067</v>
      </c>
      <c r="C232" s="4">
        <f t="shared" si="16"/>
        <v>4417.6296171351869</v>
      </c>
      <c r="D232" s="4">
        <f t="shared" si="17"/>
        <v>2009.6100033307839</v>
      </c>
      <c r="E232" s="4">
        <f t="shared" si="18"/>
        <v>2408.019613804403</v>
      </c>
    </row>
    <row r="233" spans="1:5" x14ac:dyDescent="0.25">
      <c r="A233">
        <f t="shared" si="19"/>
        <v>223</v>
      </c>
      <c r="B233" s="4">
        <f t="shared" si="15"/>
        <v>456931.40971894626</v>
      </c>
      <c r="C233" s="4">
        <f t="shared" si="16"/>
        <v>4417.6296171351869</v>
      </c>
      <c r="D233" s="4">
        <f t="shared" si="17"/>
        <v>1999.0749175203896</v>
      </c>
      <c r="E233" s="4">
        <f t="shared" si="18"/>
        <v>2418.5546996147973</v>
      </c>
    </row>
    <row r="234" spans="1:5" x14ac:dyDescent="0.25">
      <c r="A234">
        <f t="shared" si="19"/>
        <v>224</v>
      </c>
      <c r="B234" s="4">
        <f t="shared" si="15"/>
        <v>454512.85501933144</v>
      </c>
      <c r="C234" s="4">
        <f t="shared" si="16"/>
        <v>4417.6296171351869</v>
      </c>
      <c r="D234" s="4">
        <f t="shared" si="17"/>
        <v>1988.4937407095749</v>
      </c>
      <c r="E234" s="4">
        <f t="shared" si="18"/>
        <v>2429.135876425612</v>
      </c>
    </row>
    <row r="235" spans="1:5" x14ac:dyDescent="0.25">
      <c r="A235">
        <f t="shared" si="19"/>
        <v>225</v>
      </c>
      <c r="B235" s="4">
        <f t="shared" si="15"/>
        <v>452083.71914290584</v>
      </c>
      <c r="C235" s="4">
        <f t="shared" si="16"/>
        <v>4417.6296171351869</v>
      </c>
      <c r="D235" s="4">
        <f t="shared" si="17"/>
        <v>1977.8662712502128</v>
      </c>
      <c r="E235" s="4">
        <f t="shared" si="18"/>
        <v>2439.7633458849741</v>
      </c>
    </row>
    <row r="236" spans="1:5" x14ac:dyDescent="0.25">
      <c r="A236">
        <f t="shared" si="19"/>
        <v>226</v>
      </c>
      <c r="B236" s="4">
        <f t="shared" si="15"/>
        <v>449643.95579702087</v>
      </c>
      <c r="C236" s="4">
        <f t="shared" si="16"/>
        <v>4417.6296171351869</v>
      </c>
      <c r="D236" s="4">
        <f t="shared" si="17"/>
        <v>1967.1923066119662</v>
      </c>
      <c r="E236" s="4">
        <f t="shared" si="18"/>
        <v>2450.4373105232207</v>
      </c>
    </row>
    <row r="237" spans="1:5" x14ac:dyDescent="0.25">
      <c r="A237">
        <f t="shared" si="19"/>
        <v>227</v>
      </c>
      <c r="B237" s="4">
        <f t="shared" si="15"/>
        <v>447193.51848649763</v>
      </c>
      <c r="C237" s="4">
        <f t="shared" si="16"/>
        <v>4417.6296171351869</v>
      </c>
      <c r="D237" s="4">
        <f t="shared" si="17"/>
        <v>1956.471643378427</v>
      </c>
      <c r="E237" s="4">
        <f t="shared" si="18"/>
        <v>2461.1579737567599</v>
      </c>
    </row>
    <row r="238" spans="1:5" x14ac:dyDescent="0.25">
      <c r="A238">
        <f t="shared" si="19"/>
        <v>228</v>
      </c>
      <c r="B238" s="4">
        <f t="shared" si="15"/>
        <v>444732.36051274085</v>
      </c>
      <c r="C238" s="4">
        <f t="shared" si="16"/>
        <v>4417.6296171351869</v>
      </c>
      <c r="D238" s="4">
        <f t="shared" si="17"/>
        <v>1945.704077243241</v>
      </c>
      <c r="E238" s="4">
        <f t="shared" si="18"/>
        <v>2471.9255398919458</v>
      </c>
    </row>
    <row r="239" spans="1:5" x14ac:dyDescent="0.25">
      <c r="A239">
        <f t="shared" si="19"/>
        <v>229</v>
      </c>
      <c r="B239" s="4">
        <f t="shared" si="15"/>
        <v>442260.43497284892</v>
      </c>
      <c r="C239" s="4">
        <f t="shared" si="16"/>
        <v>4417.6296171351869</v>
      </c>
      <c r="D239" s="4">
        <f t="shared" si="17"/>
        <v>1934.8894030062138</v>
      </c>
      <c r="E239" s="4">
        <f t="shared" si="18"/>
        <v>2482.7402141289731</v>
      </c>
    </row>
    <row r="240" spans="1:5" x14ac:dyDescent="0.25">
      <c r="A240">
        <f t="shared" si="19"/>
        <v>230</v>
      </c>
      <c r="B240" s="4">
        <f t="shared" si="15"/>
        <v>439777.69475871994</v>
      </c>
      <c r="C240" s="4">
        <f t="shared" si="16"/>
        <v>4417.6296171351869</v>
      </c>
      <c r="D240" s="4">
        <f t="shared" si="17"/>
        <v>1924.0274145693995</v>
      </c>
      <c r="E240" s="4">
        <f t="shared" si="18"/>
        <v>2493.6022025657876</v>
      </c>
    </row>
    <row r="241" spans="1:5" x14ac:dyDescent="0.25">
      <c r="A241">
        <f t="shared" si="19"/>
        <v>231</v>
      </c>
      <c r="B241" s="4">
        <f t="shared" si="15"/>
        <v>437284.09255615412</v>
      </c>
      <c r="C241" s="4">
        <f t="shared" si="16"/>
        <v>4417.6296171351869</v>
      </c>
      <c r="D241" s="4">
        <f t="shared" si="17"/>
        <v>1913.117904933174</v>
      </c>
      <c r="E241" s="4">
        <f t="shared" si="18"/>
        <v>2504.5117122020129</v>
      </c>
    </row>
    <row r="242" spans="1:5" x14ac:dyDescent="0.25">
      <c r="A242">
        <f t="shared" si="19"/>
        <v>232</v>
      </c>
      <c r="B242" s="4">
        <f t="shared" si="15"/>
        <v>434779.58084395214</v>
      </c>
      <c r="C242" s="4">
        <f t="shared" si="16"/>
        <v>4417.6296171351869</v>
      </c>
      <c r="D242" s="4">
        <f t="shared" si="17"/>
        <v>1902.1606661922904</v>
      </c>
      <c r="E242" s="4">
        <f t="shared" si="18"/>
        <v>2515.4689509428963</v>
      </c>
    </row>
    <row r="243" spans="1:5" x14ac:dyDescent="0.25">
      <c r="A243">
        <f t="shared" si="19"/>
        <v>233</v>
      </c>
      <c r="B243" s="4">
        <f t="shared" si="15"/>
        <v>432264.11189300922</v>
      </c>
      <c r="C243" s="4">
        <f t="shared" si="16"/>
        <v>4417.6296171351869</v>
      </c>
      <c r="D243" s="4">
        <f t="shared" si="17"/>
        <v>1891.1554895319152</v>
      </c>
      <c r="E243" s="4">
        <f t="shared" si="18"/>
        <v>2526.4741276032719</v>
      </c>
    </row>
    <row r="244" spans="1:5" x14ac:dyDescent="0.25">
      <c r="A244">
        <f t="shared" si="19"/>
        <v>234</v>
      </c>
      <c r="B244" s="4">
        <f t="shared" si="15"/>
        <v>429737.63776540593</v>
      </c>
      <c r="C244" s="4">
        <f t="shared" si="16"/>
        <v>4417.6296171351869</v>
      </c>
      <c r="D244" s="4">
        <f t="shared" si="17"/>
        <v>1880.1021652236507</v>
      </c>
      <c r="E244" s="4">
        <f t="shared" si="18"/>
        <v>2537.5274519115364</v>
      </c>
    </row>
    <row r="245" spans="1:5" x14ac:dyDescent="0.25">
      <c r="A245">
        <f t="shared" si="19"/>
        <v>235</v>
      </c>
      <c r="B245" s="4">
        <f t="shared" si="15"/>
        <v>427200.1103134944</v>
      </c>
      <c r="C245" s="4">
        <f t="shared" si="16"/>
        <v>4417.6296171351869</v>
      </c>
      <c r="D245" s="4">
        <f t="shared" si="17"/>
        <v>1869.0004826215379</v>
      </c>
      <c r="E245" s="4">
        <f t="shared" si="18"/>
        <v>2548.6291345136488</v>
      </c>
    </row>
    <row r="246" spans="1:5" x14ac:dyDescent="0.25">
      <c r="A246">
        <f t="shared" si="19"/>
        <v>236</v>
      </c>
      <c r="B246" s="4">
        <f t="shared" si="15"/>
        <v>424651.48117898073</v>
      </c>
      <c r="C246" s="4">
        <f t="shared" si="16"/>
        <v>4417.6296171351869</v>
      </c>
      <c r="D246" s="4">
        <f t="shared" si="17"/>
        <v>1857.8502301580404</v>
      </c>
      <c r="E246" s="4">
        <f t="shared" si="18"/>
        <v>2559.7793869771467</v>
      </c>
    </row>
    <row r="247" spans="1:5" x14ac:dyDescent="0.25">
      <c r="A247">
        <f t="shared" si="19"/>
        <v>237</v>
      </c>
      <c r="B247" s="4">
        <f t="shared" si="15"/>
        <v>422091.70179200359</v>
      </c>
      <c r="C247" s="4">
        <f t="shared" si="16"/>
        <v>4417.6296171351869</v>
      </c>
      <c r="D247" s="4">
        <f t="shared" si="17"/>
        <v>1846.6511953400154</v>
      </c>
      <c r="E247" s="4">
        <f t="shared" si="18"/>
        <v>2570.9784217951715</v>
      </c>
    </row>
    <row r="248" spans="1:5" x14ac:dyDescent="0.25">
      <c r="A248">
        <f t="shared" si="19"/>
        <v>238</v>
      </c>
      <c r="B248" s="4">
        <f t="shared" si="15"/>
        <v>419520.7233702084</v>
      </c>
      <c r="C248" s="4">
        <f t="shared" si="16"/>
        <v>4417.6296171351869</v>
      </c>
      <c r="D248" s="4">
        <f t="shared" si="17"/>
        <v>1835.4031647446616</v>
      </c>
      <c r="E248" s="4">
        <f t="shared" si="18"/>
        <v>2582.2264523905251</v>
      </c>
    </row>
    <row r="249" spans="1:5" x14ac:dyDescent="0.25">
      <c r="A249">
        <f t="shared" si="19"/>
        <v>239</v>
      </c>
      <c r="B249" s="4">
        <f t="shared" si="15"/>
        <v>416938.49691781786</v>
      </c>
      <c r="C249" s="4">
        <f t="shared" si="16"/>
        <v>4417.6296171351869</v>
      </c>
      <c r="D249" s="4">
        <f t="shared" si="17"/>
        <v>1824.105924015453</v>
      </c>
      <c r="E249" s="4">
        <f t="shared" si="18"/>
        <v>2593.5236931197342</v>
      </c>
    </row>
    <row r="250" spans="1:5" x14ac:dyDescent="0.25">
      <c r="A250">
        <f t="shared" si="19"/>
        <v>240</v>
      </c>
      <c r="B250" s="4">
        <f t="shared" si="15"/>
        <v>414344.9732246981</v>
      </c>
      <c r="C250" s="4">
        <f t="shared" si="16"/>
        <v>4417.6296171351869</v>
      </c>
      <c r="D250" s="4">
        <f t="shared" si="17"/>
        <v>1812.7592578580541</v>
      </c>
      <c r="E250" s="4">
        <f t="shared" si="18"/>
        <v>2604.8703592771326</v>
      </c>
    </row>
    <row r="251" spans="1:5" x14ac:dyDescent="0.25">
      <c r="A251">
        <f t="shared" si="19"/>
        <v>241</v>
      </c>
      <c r="B251" s="4">
        <f t="shared" si="15"/>
        <v>411740.10286542098</v>
      </c>
      <c r="C251" s="4">
        <f t="shared" si="16"/>
        <v>4417.6296171351869</v>
      </c>
      <c r="D251" s="4">
        <f t="shared" si="17"/>
        <v>1801.3629500362167</v>
      </c>
      <c r="E251" s="4">
        <f t="shared" si="18"/>
        <v>2616.2666670989702</v>
      </c>
    </row>
    <row r="252" spans="1:5" x14ac:dyDescent="0.25">
      <c r="A252">
        <f t="shared" si="19"/>
        <v>242</v>
      </c>
      <c r="B252" s="4">
        <f t="shared" si="15"/>
        <v>409123.83619832201</v>
      </c>
      <c r="C252" s="4">
        <f t="shared" si="16"/>
        <v>4417.6296171351869</v>
      </c>
      <c r="D252" s="4">
        <f t="shared" si="17"/>
        <v>1789.9167833676586</v>
      </c>
      <c r="E252" s="4">
        <f t="shared" si="18"/>
        <v>2627.7128337675285</v>
      </c>
    </row>
    <row r="253" spans="1:5" x14ac:dyDescent="0.25">
      <c r="A253">
        <f t="shared" si="19"/>
        <v>243</v>
      </c>
      <c r="B253" s="4">
        <f t="shared" si="15"/>
        <v>406496.12336455449</v>
      </c>
      <c r="C253" s="4">
        <f t="shared" si="16"/>
        <v>4417.6296171351869</v>
      </c>
      <c r="D253" s="4">
        <f t="shared" si="17"/>
        <v>1778.4205397199257</v>
      </c>
      <c r="E253" s="4">
        <f t="shared" si="18"/>
        <v>2639.2090774152612</v>
      </c>
    </row>
    <row r="254" spans="1:5" x14ac:dyDescent="0.25">
      <c r="A254">
        <f t="shared" si="19"/>
        <v>244</v>
      </c>
      <c r="B254" s="4">
        <f t="shared" si="15"/>
        <v>403856.9142871392</v>
      </c>
      <c r="C254" s="4">
        <f t="shared" si="16"/>
        <v>4417.6296171351869</v>
      </c>
      <c r="D254" s="4">
        <f t="shared" si="17"/>
        <v>1766.8740000062337</v>
      </c>
      <c r="E254" s="4">
        <f t="shared" si="18"/>
        <v>2650.7556171289534</v>
      </c>
    </row>
    <row r="255" spans="1:5" x14ac:dyDescent="0.25">
      <c r="A255">
        <f t="shared" si="19"/>
        <v>245</v>
      </c>
      <c r="B255" s="4">
        <f t="shared" si="15"/>
        <v>401206.15867001022</v>
      </c>
      <c r="C255" s="4">
        <f t="shared" si="16"/>
        <v>4417.6296171351869</v>
      </c>
      <c r="D255" s="4">
        <f t="shared" si="17"/>
        <v>1755.2769441812945</v>
      </c>
      <c r="E255" s="4">
        <f t="shared" si="18"/>
        <v>2662.3526729538926</v>
      </c>
    </row>
    <row r="256" spans="1:5" x14ac:dyDescent="0.25">
      <c r="A256">
        <f t="shared" si="19"/>
        <v>246</v>
      </c>
      <c r="B256" s="4">
        <f t="shared" si="15"/>
        <v>398543.8059970563</v>
      </c>
      <c r="C256" s="4">
        <f t="shared" si="16"/>
        <v>4417.6296171351869</v>
      </c>
      <c r="D256" s="4">
        <f t="shared" si="17"/>
        <v>1743.6291512371211</v>
      </c>
      <c r="E256" s="4">
        <f t="shared" si="18"/>
        <v>2674.0004658980661</v>
      </c>
    </row>
    <row r="257" spans="1:5" x14ac:dyDescent="0.25">
      <c r="A257">
        <f t="shared" si="19"/>
        <v>247</v>
      </c>
      <c r="B257" s="4">
        <f t="shared" si="15"/>
        <v>395869.80553115823</v>
      </c>
      <c r="C257" s="4">
        <f t="shared" si="16"/>
        <v>4417.6296171351869</v>
      </c>
      <c r="D257" s="4">
        <f t="shared" si="17"/>
        <v>1731.930399198817</v>
      </c>
      <c r="E257" s="4">
        <f t="shared" si="18"/>
        <v>2685.6992179363697</v>
      </c>
    </row>
    <row r="258" spans="1:5" x14ac:dyDescent="0.25">
      <c r="A258">
        <f t="shared" si="19"/>
        <v>248</v>
      </c>
      <c r="B258" s="4">
        <f t="shared" si="15"/>
        <v>393184.10631322186</v>
      </c>
      <c r="C258" s="4">
        <f t="shared" si="16"/>
        <v>4417.6296171351869</v>
      </c>
      <c r="D258" s="4">
        <f t="shared" si="17"/>
        <v>1720.1804651203454</v>
      </c>
      <c r="E258" s="4">
        <f t="shared" si="18"/>
        <v>2697.4491520148413</v>
      </c>
    </row>
    <row r="259" spans="1:5" x14ac:dyDescent="0.25">
      <c r="A259">
        <f t="shared" si="19"/>
        <v>249</v>
      </c>
      <c r="B259" s="4">
        <f t="shared" si="15"/>
        <v>390486.657161207</v>
      </c>
      <c r="C259" s="4">
        <f t="shared" si="16"/>
        <v>4417.6296171351869</v>
      </c>
      <c r="D259" s="4">
        <f t="shared" si="17"/>
        <v>1708.3791250802803</v>
      </c>
      <c r="E259" s="4">
        <f t="shared" si="18"/>
        <v>2709.2504920549063</v>
      </c>
    </row>
    <row r="260" spans="1:5" x14ac:dyDescent="0.25">
      <c r="A260">
        <f t="shared" si="19"/>
        <v>250</v>
      </c>
      <c r="B260" s="4">
        <f t="shared" si="15"/>
        <v>387777.40666915209</v>
      </c>
      <c r="C260" s="4">
        <f t="shared" si="16"/>
        <v>4417.6296171351869</v>
      </c>
      <c r="D260" s="4">
        <f t="shared" si="17"/>
        <v>1696.5261541775401</v>
      </c>
      <c r="E260" s="4">
        <f t="shared" si="18"/>
        <v>2721.103462957647</v>
      </c>
    </row>
    <row r="261" spans="1:5" x14ac:dyDescent="0.25">
      <c r="A261">
        <f t="shared" si="19"/>
        <v>251</v>
      </c>
      <c r="B261" s="4">
        <f t="shared" si="15"/>
        <v>385056.30320619443</v>
      </c>
      <c r="C261" s="4">
        <f t="shared" si="16"/>
        <v>4417.6296171351869</v>
      </c>
      <c r="D261" s="4">
        <f t="shared" si="17"/>
        <v>1684.6213265271003</v>
      </c>
      <c r="E261" s="4">
        <f t="shared" si="18"/>
        <v>2733.0082906080866</v>
      </c>
    </row>
    <row r="262" spans="1:5" x14ac:dyDescent="0.25">
      <c r="A262">
        <f t="shared" si="19"/>
        <v>252</v>
      </c>
      <c r="B262" s="4">
        <f t="shared" si="15"/>
        <v>382323.29491558636</v>
      </c>
      <c r="C262" s="4">
        <f t="shared" si="16"/>
        <v>4417.6296171351869</v>
      </c>
      <c r="D262" s="4">
        <f t="shared" si="17"/>
        <v>1672.6644152556901</v>
      </c>
      <c r="E262" s="4">
        <f t="shared" si="18"/>
        <v>2744.9652018794968</v>
      </c>
    </row>
    <row r="263" spans="1:5" x14ac:dyDescent="0.25">
      <c r="A263">
        <f t="shared" si="19"/>
        <v>253</v>
      </c>
      <c r="B263" s="4">
        <f t="shared" si="15"/>
        <v>379578.32971370686</v>
      </c>
      <c r="C263" s="4">
        <f t="shared" si="16"/>
        <v>4417.6296171351869</v>
      </c>
      <c r="D263" s="4">
        <f t="shared" si="17"/>
        <v>1660.6551924974674</v>
      </c>
      <c r="E263" s="4">
        <f t="shared" si="18"/>
        <v>2756.9744246377195</v>
      </c>
    </row>
    <row r="264" spans="1:5" x14ac:dyDescent="0.25">
      <c r="A264">
        <f t="shared" si="19"/>
        <v>254</v>
      </c>
      <c r="B264" s="4">
        <f t="shared" si="15"/>
        <v>376821.35528906912</v>
      </c>
      <c r="C264" s="4">
        <f t="shared" si="16"/>
        <v>4417.6296171351869</v>
      </c>
      <c r="D264" s="4">
        <f t="shared" si="17"/>
        <v>1648.5934293896773</v>
      </c>
      <c r="E264" s="4">
        <f t="shared" si="18"/>
        <v>2769.0361877455098</v>
      </c>
    </row>
    <row r="265" spans="1:5" x14ac:dyDescent="0.25">
      <c r="A265">
        <f t="shared" si="19"/>
        <v>255</v>
      </c>
      <c r="B265" s="4">
        <f t="shared" si="15"/>
        <v>374052.31910132361</v>
      </c>
      <c r="C265" s="4">
        <f t="shared" si="16"/>
        <v>4417.6296171351869</v>
      </c>
      <c r="D265" s="4">
        <f t="shared" si="17"/>
        <v>1636.4788960682906</v>
      </c>
      <c r="E265" s="4">
        <f t="shared" si="18"/>
        <v>2781.150721066896</v>
      </c>
    </row>
    <row r="266" spans="1:5" x14ac:dyDescent="0.25">
      <c r="A266">
        <f t="shared" si="19"/>
        <v>256</v>
      </c>
      <c r="B266" s="4">
        <f t="shared" si="15"/>
        <v>371271.16838025668</v>
      </c>
      <c r="C266" s="4">
        <f t="shared" si="16"/>
        <v>4417.6296171351869</v>
      </c>
      <c r="D266" s="4">
        <f t="shared" si="17"/>
        <v>1624.3113616636228</v>
      </c>
      <c r="E266" s="4">
        <f t="shared" si="18"/>
        <v>2793.318255471564</v>
      </c>
    </row>
    <row r="267" spans="1:5" x14ac:dyDescent="0.25">
      <c r="A267">
        <f t="shared" si="19"/>
        <v>257</v>
      </c>
      <c r="B267" s="4">
        <f t="shared" si="15"/>
        <v>368477.85012478509</v>
      </c>
      <c r="C267" s="4">
        <f t="shared" si="16"/>
        <v>4417.6296171351869</v>
      </c>
      <c r="D267" s="4">
        <f t="shared" si="17"/>
        <v>1612.0905942959346</v>
      </c>
      <c r="E267" s="4">
        <f t="shared" si="18"/>
        <v>2805.5390228392525</v>
      </c>
    </row>
    <row r="268" spans="1:5" x14ac:dyDescent="0.25">
      <c r="A268">
        <f t="shared" si="19"/>
        <v>258</v>
      </c>
      <c r="B268" s="4">
        <f t="shared" si="15"/>
        <v>365672.31110194582</v>
      </c>
      <c r="C268" s="4">
        <f t="shared" si="16"/>
        <v>4417.6296171351869</v>
      </c>
      <c r="D268" s="4">
        <f t="shared" si="17"/>
        <v>1599.8163610710128</v>
      </c>
      <c r="E268" s="4">
        <f t="shared" si="18"/>
        <v>2817.8132560641743</v>
      </c>
    </row>
    <row r="269" spans="1:5" x14ac:dyDescent="0.25">
      <c r="A269">
        <f t="shared" si="19"/>
        <v>259</v>
      </c>
      <c r="B269" s="4">
        <f t="shared" ref="B269:B332" si="20">B268-E268</f>
        <v>362854.49784588162</v>
      </c>
      <c r="C269" s="4">
        <f t="shared" ref="C269:C332" si="21">$B$7</f>
        <v>4417.6296171351869</v>
      </c>
      <c r="D269" s="4">
        <f t="shared" ref="D269:D332" si="22">$B$5*B269</f>
        <v>1587.4884280757319</v>
      </c>
      <c r="E269" s="4">
        <f t="shared" ref="E269:E332" si="23">C269-D269</f>
        <v>2830.141189059455</v>
      </c>
    </row>
    <row r="270" spans="1:5" x14ac:dyDescent="0.25">
      <c r="A270">
        <f t="shared" ref="A270:A333" si="24">A269+1</f>
        <v>260</v>
      </c>
      <c r="B270" s="4">
        <f t="shared" si="20"/>
        <v>360024.35665682214</v>
      </c>
      <c r="C270" s="4">
        <f t="shared" si="21"/>
        <v>4417.6296171351869</v>
      </c>
      <c r="D270" s="4">
        <f t="shared" si="22"/>
        <v>1575.1065603735967</v>
      </c>
      <c r="E270" s="4">
        <f t="shared" si="23"/>
        <v>2842.5230567615899</v>
      </c>
    </row>
    <row r="271" spans="1:5" x14ac:dyDescent="0.25">
      <c r="A271">
        <f t="shared" si="24"/>
        <v>261</v>
      </c>
      <c r="B271" s="4">
        <f t="shared" si="20"/>
        <v>357181.83360006055</v>
      </c>
      <c r="C271" s="4">
        <f t="shared" si="21"/>
        <v>4417.6296171351869</v>
      </c>
      <c r="D271" s="4">
        <f t="shared" si="22"/>
        <v>1562.6705220002648</v>
      </c>
      <c r="E271" s="4">
        <f t="shared" si="23"/>
        <v>2854.9590951349219</v>
      </c>
    </row>
    <row r="272" spans="1:5" x14ac:dyDescent="0.25">
      <c r="A272">
        <f t="shared" si="24"/>
        <v>262</v>
      </c>
      <c r="B272" s="4">
        <f t="shared" si="20"/>
        <v>354326.87450492562</v>
      </c>
      <c r="C272" s="4">
        <f t="shared" si="21"/>
        <v>4417.6296171351869</v>
      </c>
      <c r="D272" s="4">
        <f t="shared" si="22"/>
        <v>1550.1800759590494</v>
      </c>
      <c r="E272" s="4">
        <f t="shared" si="23"/>
        <v>2867.4495411761372</v>
      </c>
    </row>
    <row r="273" spans="1:5" x14ac:dyDescent="0.25">
      <c r="A273">
        <f t="shared" si="24"/>
        <v>263</v>
      </c>
      <c r="B273" s="4">
        <f t="shared" si="20"/>
        <v>351459.42496374948</v>
      </c>
      <c r="C273" s="4">
        <f t="shared" si="21"/>
        <v>4417.6296171351869</v>
      </c>
      <c r="D273" s="4">
        <f t="shared" si="22"/>
        <v>1537.6349842164038</v>
      </c>
      <c r="E273" s="4">
        <f t="shared" si="23"/>
        <v>2879.9946329187833</v>
      </c>
    </row>
    <row r="274" spans="1:5" x14ac:dyDescent="0.25">
      <c r="A274">
        <f t="shared" si="24"/>
        <v>264</v>
      </c>
      <c r="B274" s="4">
        <f t="shared" si="20"/>
        <v>348579.43033083068</v>
      </c>
      <c r="C274" s="4">
        <f t="shared" si="21"/>
        <v>4417.6296171351869</v>
      </c>
      <c r="D274" s="4">
        <f t="shared" si="22"/>
        <v>1525.0350076973841</v>
      </c>
      <c r="E274" s="4">
        <f t="shared" si="23"/>
        <v>2892.5946094378028</v>
      </c>
    </row>
    <row r="275" spans="1:5" x14ac:dyDescent="0.25">
      <c r="A275">
        <f t="shared" si="24"/>
        <v>265</v>
      </c>
      <c r="B275" s="4">
        <f t="shared" si="20"/>
        <v>345686.83572139288</v>
      </c>
      <c r="C275" s="4">
        <f t="shared" si="21"/>
        <v>4417.6296171351869</v>
      </c>
      <c r="D275" s="4">
        <f t="shared" si="22"/>
        <v>1512.3799062810938</v>
      </c>
      <c r="E275" s="4">
        <f t="shared" si="23"/>
        <v>2905.2497108540929</v>
      </c>
    </row>
    <row r="276" spans="1:5" x14ac:dyDescent="0.25">
      <c r="A276">
        <f t="shared" si="24"/>
        <v>266</v>
      </c>
      <c r="B276" s="4">
        <f t="shared" si="20"/>
        <v>342781.5860105388</v>
      </c>
      <c r="C276" s="4">
        <f t="shared" si="21"/>
        <v>4417.6296171351869</v>
      </c>
      <c r="D276" s="4">
        <f t="shared" si="22"/>
        <v>1499.669438796107</v>
      </c>
      <c r="E276" s="4">
        <f t="shared" si="23"/>
        <v>2917.9601783390799</v>
      </c>
    </row>
    <row r="277" spans="1:5" x14ac:dyDescent="0.25">
      <c r="A277">
        <f t="shared" si="24"/>
        <v>267</v>
      </c>
      <c r="B277" s="4">
        <f t="shared" si="20"/>
        <v>339863.6258321997</v>
      </c>
      <c r="C277" s="4">
        <f t="shared" si="21"/>
        <v>4417.6296171351869</v>
      </c>
      <c r="D277" s="4">
        <f t="shared" si="22"/>
        <v>1486.9033630158735</v>
      </c>
      <c r="E277" s="4">
        <f t="shared" si="23"/>
        <v>2930.7262541193131</v>
      </c>
    </row>
    <row r="278" spans="1:5" x14ac:dyDescent="0.25">
      <c r="A278">
        <f t="shared" si="24"/>
        <v>268</v>
      </c>
      <c r="B278" s="4">
        <f t="shared" si="20"/>
        <v>336932.8995780804</v>
      </c>
      <c r="C278" s="4">
        <f t="shared" si="21"/>
        <v>4417.6296171351869</v>
      </c>
      <c r="D278" s="4">
        <f t="shared" si="22"/>
        <v>1474.0814356541016</v>
      </c>
      <c r="E278" s="4">
        <f t="shared" si="23"/>
        <v>2943.5481814810855</v>
      </c>
    </row>
    <row r="279" spans="1:5" x14ac:dyDescent="0.25">
      <c r="A279">
        <f t="shared" si="24"/>
        <v>269</v>
      </c>
      <c r="B279" s="4">
        <f t="shared" si="20"/>
        <v>333989.35139659932</v>
      </c>
      <c r="C279" s="4">
        <f t="shared" si="21"/>
        <v>4417.6296171351869</v>
      </c>
      <c r="D279" s="4">
        <f t="shared" si="22"/>
        <v>1461.2034123601218</v>
      </c>
      <c r="E279" s="4">
        <f t="shared" si="23"/>
        <v>2956.4262047750653</v>
      </c>
    </row>
    <row r="280" spans="1:5" x14ac:dyDescent="0.25">
      <c r="A280">
        <f t="shared" si="24"/>
        <v>270</v>
      </c>
      <c r="B280" s="4">
        <f t="shared" si="20"/>
        <v>331032.92519182427</v>
      </c>
      <c r="C280" s="4">
        <f t="shared" si="21"/>
        <v>4417.6296171351869</v>
      </c>
      <c r="D280" s="4">
        <f t="shared" si="22"/>
        <v>1448.269047714231</v>
      </c>
      <c r="E280" s="4">
        <f t="shared" si="23"/>
        <v>2969.3605694209559</v>
      </c>
    </row>
    <row r="281" spans="1:5" x14ac:dyDescent="0.25">
      <c r="A281">
        <f t="shared" si="24"/>
        <v>271</v>
      </c>
      <c r="B281" s="4">
        <f t="shared" si="20"/>
        <v>328063.5646224033</v>
      </c>
      <c r="C281" s="4">
        <f t="shared" si="21"/>
        <v>4417.6296171351869</v>
      </c>
      <c r="D281" s="4">
        <f t="shared" si="22"/>
        <v>1435.2780952230144</v>
      </c>
      <c r="E281" s="4">
        <f t="shared" si="23"/>
        <v>2982.3515219121728</v>
      </c>
    </row>
    <row r="282" spans="1:5" x14ac:dyDescent="0.25">
      <c r="A282">
        <f t="shared" si="24"/>
        <v>272</v>
      </c>
      <c r="B282" s="4">
        <f t="shared" si="20"/>
        <v>325081.21310049115</v>
      </c>
      <c r="C282" s="4">
        <f t="shared" si="21"/>
        <v>4417.6296171351869</v>
      </c>
      <c r="D282" s="4">
        <f t="shared" si="22"/>
        <v>1422.2303073146486</v>
      </c>
      <c r="E282" s="4">
        <f t="shared" si="23"/>
        <v>2995.3993098205383</v>
      </c>
    </row>
    <row r="283" spans="1:5" x14ac:dyDescent="0.25">
      <c r="A283">
        <f t="shared" si="24"/>
        <v>273</v>
      </c>
      <c r="B283" s="4">
        <f t="shared" si="20"/>
        <v>322085.8137906706</v>
      </c>
      <c r="C283" s="4">
        <f t="shared" si="21"/>
        <v>4417.6296171351869</v>
      </c>
      <c r="D283" s="4">
        <f t="shared" si="22"/>
        <v>1409.1254353341837</v>
      </c>
      <c r="E283" s="4">
        <f t="shared" si="23"/>
        <v>3008.5041818010031</v>
      </c>
    </row>
    <row r="284" spans="1:5" x14ac:dyDescent="0.25">
      <c r="A284">
        <f t="shared" si="24"/>
        <v>274</v>
      </c>
      <c r="B284" s="4">
        <f t="shared" si="20"/>
        <v>319077.3096088696</v>
      </c>
      <c r="C284" s="4">
        <f t="shared" si="21"/>
        <v>4417.6296171351869</v>
      </c>
      <c r="D284" s="4">
        <f t="shared" si="22"/>
        <v>1395.9632295388044</v>
      </c>
      <c r="E284" s="4">
        <f t="shared" si="23"/>
        <v>3021.6663875963823</v>
      </c>
    </row>
    <row r="285" spans="1:5" x14ac:dyDescent="0.25">
      <c r="A285">
        <f t="shared" si="24"/>
        <v>275</v>
      </c>
      <c r="B285" s="4">
        <f t="shared" si="20"/>
        <v>316055.6432212732</v>
      </c>
      <c r="C285" s="4">
        <f t="shared" si="21"/>
        <v>4417.6296171351869</v>
      </c>
      <c r="D285" s="4">
        <f t="shared" si="22"/>
        <v>1382.74343909307</v>
      </c>
      <c r="E285" s="4">
        <f t="shared" si="23"/>
        <v>3034.8861780421166</v>
      </c>
    </row>
    <row r="286" spans="1:5" x14ac:dyDescent="0.25">
      <c r="A286">
        <f t="shared" si="24"/>
        <v>276</v>
      </c>
      <c r="B286" s="4">
        <f t="shared" si="20"/>
        <v>313020.7570432311</v>
      </c>
      <c r="C286" s="4">
        <f t="shared" si="21"/>
        <v>4417.6296171351869</v>
      </c>
      <c r="D286" s="4">
        <f t="shared" si="22"/>
        <v>1369.4658120641359</v>
      </c>
      <c r="E286" s="4">
        <f t="shared" si="23"/>
        <v>3048.1638050710508</v>
      </c>
    </row>
    <row r="287" spans="1:5" x14ac:dyDescent="0.25">
      <c r="A287">
        <f t="shared" si="24"/>
        <v>277</v>
      </c>
      <c r="B287" s="4">
        <f t="shared" si="20"/>
        <v>309972.59323816007</v>
      </c>
      <c r="C287" s="4">
        <f t="shared" si="21"/>
        <v>4417.6296171351869</v>
      </c>
      <c r="D287" s="4">
        <f t="shared" si="22"/>
        <v>1356.1300954169501</v>
      </c>
      <c r="E287" s="4">
        <f t="shared" si="23"/>
        <v>3061.4995217182368</v>
      </c>
    </row>
    <row r="288" spans="1:5" x14ac:dyDescent="0.25">
      <c r="A288">
        <f t="shared" si="24"/>
        <v>278</v>
      </c>
      <c r="B288" s="4">
        <f t="shared" si="20"/>
        <v>306911.09371644183</v>
      </c>
      <c r="C288" s="4">
        <f t="shared" si="21"/>
        <v>4417.6296171351869</v>
      </c>
      <c r="D288" s="4">
        <f t="shared" si="22"/>
        <v>1342.736035009433</v>
      </c>
      <c r="E288" s="4">
        <f t="shared" si="23"/>
        <v>3074.8935821257537</v>
      </c>
    </row>
    <row r="289" spans="1:5" x14ac:dyDescent="0.25">
      <c r="A289">
        <f t="shared" si="24"/>
        <v>279</v>
      </c>
      <c r="B289" s="4">
        <f t="shared" si="20"/>
        <v>303836.20013431605</v>
      </c>
      <c r="C289" s="4">
        <f t="shared" si="21"/>
        <v>4417.6296171351869</v>
      </c>
      <c r="D289" s="4">
        <f t="shared" si="22"/>
        <v>1329.2833755876327</v>
      </c>
      <c r="E289" s="4">
        <f t="shared" si="23"/>
        <v>3088.3462415475542</v>
      </c>
    </row>
    <row r="290" spans="1:5" x14ac:dyDescent="0.25">
      <c r="A290">
        <f t="shared" si="24"/>
        <v>280</v>
      </c>
      <c r="B290" s="4">
        <f t="shared" si="20"/>
        <v>300747.8538927685</v>
      </c>
      <c r="C290" s="4">
        <f t="shared" si="21"/>
        <v>4417.6296171351869</v>
      </c>
      <c r="D290" s="4">
        <f t="shared" si="22"/>
        <v>1315.771860780862</v>
      </c>
      <c r="E290" s="4">
        <f t="shared" si="23"/>
        <v>3101.8577563543249</v>
      </c>
    </row>
    <row r="291" spans="1:5" x14ac:dyDescent="0.25">
      <c r="A291">
        <f t="shared" si="24"/>
        <v>281</v>
      </c>
      <c r="B291" s="4">
        <f t="shared" si="20"/>
        <v>297645.99613641418</v>
      </c>
      <c r="C291" s="4">
        <f t="shared" si="21"/>
        <v>4417.6296171351869</v>
      </c>
      <c r="D291" s="4">
        <f t="shared" si="22"/>
        <v>1302.2012330968118</v>
      </c>
      <c r="E291" s="4">
        <f t="shared" si="23"/>
        <v>3115.428384038375</v>
      </c>
    </row>
    <row r="292" spans="1:5" x14ac:dyDescent="0.25">
      <c r="A292">
        <f t="shared" si="24"/>
        <v>282</v>
      </c>
      <c r="B292" s="4">
        <f t="shared" si="20"/>
        <v>294530.56775237579</v>
      </c>
      <c r="C292" s="4">
        <f t="shared" si="21"/>
        <v>4417.6296171351869</v>
      </c>
      <c r="D292" s="4">
        <f t="shared" si="22"/>
        <v>1288.5712339166439</v>
      </c>
      <c r="E292" s="4">
        <f t="shared" si="23"/>
        <v>3129.058383218543</v>
      </c>
    </row>
    <row r="293" spans="1:5" x14ac:dyDescent="0.25">
      <c r="A293">
        <f t="shared" si="24"/>
        <v>283</v>
      </c>
      <c r="B293" s="4">
        <f t="shared" si="20"/>
        <v>291401.50936915725</v>
      </c>
      <c r="C293" s="4">
        <f t="shared" si="21"/>
        <v>4417.6296171351869</v>
      </c>
      <c r="D293" s="4">
        <f t="shared" si="22"/>
        <v>1274.8816034900628</v>
      </c>
      <c r="E293" s="4">
        <f t="shared" si="23"/>
        <v>3142.748013645124</v>
      </c>
    </row>
    <row r="294" spans="1:5" x14ac:dyDescent="0.25">
      <c r="A294">
        <f t="shared" si="24"/>
        <v>284</v>
      </c>
      <c r="B294" s="4">
        <f t="shared" si="20"/>
        <v>288258.76135551214</v>
      </c>
      <c r="C294" s="4">
        <f t="shared" si="21"/>
        <v>4417.6296171351869</v>
      </c>
      <c r="D294" s="4">
        <f t="shared" si="22"/>
        <v>1261.1320809303654</v>
      </c>
      <c r="E294" s="4">
        <f t="shared" si="23"/>
        <v>3156.4975362048217</v>
      </c>
    </row>
    <row r="295" spans="1:5" x14ac:dyDescent="0.25">
      <c r="A295">
        <f t="shared" si="24"/>
        <v>285</v>
      </c>
      <c r="B295" s="4">
        <f t="shared" si="20"/>
        <v>285102.26381930732</v>
      </c>
      <c r="C295" s="4">
        <f t="shared" si="21"/>
        <v>4417.6296171351869</v>
      </c>
      <c r="D295" s="4">
        <f t="shared" si="22"/>
        <v>1247.3224042094694</v>
      </c>
      <c r="E295" s="4">
        <f t="shared" si="23"/>
        <v>3170.3072129257175</v>
      </c>
    </row>
    <row r="296" spans="1:5" x14ac:dyDescent="0.25">
      <c r="A296">
        <f t="shared" si="24"/>
        <v>286</v>
      </c>
      <c r="B296" s="4">
        <f t="shared" si="20"/>
        <v>281931.95660638163</v>
      </c>
      <c r="C296" s="4">
        <f t="shared" si="21"/>
        <v>4417.6296171351869</v>
      </c>
      <c r="D296" s="4">
        <f t="shared" si="22"/>
        <v>1233.4523101529196</v>
      </c>
      <c r="E296" s="4">
        <f t="shared" si="23"/>
        <v>3184.1773069822675</v>
      </c>
    </row>
    <row r="297" spans="1:5" x14ac:dyDescent="0.25">
      <c r="A297">
        <f t="shared" si="24"/>
        <v>287</v>
      </c>
      <c r="B297" s="4">
        <f t="shared" si="20"/>
        <v>278747.77929939935</v>
      </c>
      <c r="C297" s="4">
        <f t="shared" si="21"/>
        <v>4417.6296171351869</v>
      </c>
      <c r="D297" s="4">
        <f t="shared" si="22"/>
        <v>1219.5215344348721</v>
      </c>
      <c r="E297" s="4">
        <f t="shared" si="23"/>
        <v>3198.1080827003148</v>
      </c>
    </row>
    <row r="298" spans="1:5" x14ac:dyDescent="0.25">
      <c r="A298">
        <f t="shared" si="24"/>
        <v>288</v>
      </c>
      <c r="B298" s="4">
        <f t="shared" si="20"/>
        <v>275549.67121669906</v>
      </c>
      <c r="C298" s="4">
        <f t="shared" si="21"/>
        <v>4417.6296171351869</v>
      </c>
      <c r="D298" s="4">
        <f t="shared" si="22"/>
        <v>1205.5298115730582</v>
      </c>
      <c r="E298" s="4">
        <f t="shared" si="23"/>
        <v>3212.0998055621285</v>
      </c>
    </row>
    <row r="299" spans="1:5" x14ac:dyDescent="0.25">
      <c r="A299">
        <f t="shared" si="24"/>
        <v>289</v>
      </c>
      <c r="B299" s="4">
        <f t="shared" si="20"/>
        <v>272337.57141113695</v>
      </c>
      <c r="C299" s="4">
        <f t="shared" si="21"/>
        <v>4417.6296171351869</v>
      </c>
      <c r="D299" s="4">
        <f t="shared" si="22"/>
        <v>1191.4768749237239</v>
      </c>
      <c r="E299" s="4">
        <f t="shared" si="23"/>
        <v>3226.1527422114632</v>
      </c>
    </row>
    <row r="300" spans="1:5" x14ac:dyDescent="0.25">
      <c r="A300">
        <f t="shared" si="24"/>
        <v>290</v>
      </c>
      <c r="B300" s="4">
        <f t="shared" si="20"/>
        <v>269111.41866892547</v>
      </c>
      <c r="C300" s="4">
        <f t="shared" si="21"/>
        <v>4417.6296171351869</v>
      </c>
      <c r="D300" s="4">
        <f t="shared" si="22"/>
        <v>1177.3624566765488</v>
      </c>
      <c r="E300" s="4">
        <f t="shared" si="23"/>
        <v>3240.267160458638</v>
      </c>
    </row>
    <row r="301" spans="1:5" x14ac:dyDescent="0.25">
      <c r="A301">
        <f t="shared" si="24"/>
        <v>291</v>
      </c>
      <c r="B301" s="4">
        <f t="shared" si="20"/>
        <v>265871.15150846681</v>
      </c>
      <c r="C301" s="4">
        <f t="shared" si="21"/>
        <v>4417.6296171351869</v>
      </c>
      <c r="D301" s="4">
        <f t="shared" si="22"/>
        <v>1163.1862878495422</v>
      </c>
      <c r="E301" s="4">
        <f t="shared" si="23"/>
        <v>3254.4433292856447</v>
      </c>
    </row>
    <row r="302" spans="1:5" x14ac:dyDescent="0.25">
      <c r="A302">
        <f t="shared" si="24"/>
        <v>292</v>
      </c>
      <c r="B302" s="4">
        <f t="shared" si="20"/>
        <v>262616.70817918115</v>
      </c>
      <c r="C302" s="4">
        <f t="shared" si="21"/>
        <v>4417.6296171351869</v>
      </c>
      <c r="D302" s="4">
        <f t="shared" si="22"/>
        <v>1148.9480982839175</v>
      </c>
      <c r="E302" s="4">
        <f t="shared" si="23"/>
        <v>3268.6815188512692</v>
      </c>
    </row>
    <row r="303" spans="1:5" x14ac:dyDescent="0.25">
      <c r="A303">
        <f t="shared" si="24"/>
        <v>293</v>
      </c>
      <c r="B303" s="4">
        <f t="shared" si="20"/>
        <v>259348.0266603299</v>
      </c>
      <c r="C303" s="4">
        <f t="shared" si="21"/>
        <v>4417.6296171351869</v>
      </c>
      <c r="D303" s="4">
        <f t="shared" si="22"/>
        <v>1134.6476166389432</v>
      </c>
      <c r="E303" s="4">
        <f t="shared" si="23"/>
        <v>3282.9820004962439</v>
      </c>
    </row>
    <row r="304" spans="1:5" x14ac:dyDescent="0.25">
      <c r="A304">
        <f t="shared" si="24"/>
        <v>294</v>
      </c>
      <c r="B304" s="4">
        <f t="shared" si="20"/>
        <v>256065.04465983366</v>
      </c>
      <c r="C304" s="4">
        <f t="shared" si="21"/>
        <v>4417.6296171351869</v>
      </c>
      <c r="D304" s="4">
        <f t="shared" si="22"/>
        <v>1120.2845703867722</v>
      </c>
      <c r="E304" s="4">
        <f t="shared" si="23"/>
        <v>3297.3450467484145</v>
      </c>
    </row>
    <row r="305" spans="1:5" x14ac:dyDescent="0.25">
      <c r="A305">
        <f t="shared" si="24"/>
        <v>295</v>
      </c>
      <c r="B305" s="4">
        <f t="shared" si="20"/>
        <v>252767.69961308525</v>
      </c>
      <c r="C305" s="4">
        <f t="shared" si="21"/>
        <v>4417.6296171351869</v>
      </c>
      <c r="D305" s="4">
        <f t="shared" si="22"/>
        <v>1105.8586858072479</v>
      </c>
      <c r="E305" s="4">
        <f t="shared" si="23"/>
        <v>3311.7709313279393</v>
      </c>
    </row>
    <row r="306" spans="1:5" x14ac:dyDescent="0.25">
      <c r="A306">
        <f t="shared" si="24"/>
        <v>296</v>
      </c>
      <c r="B306" s="4">
        <f t="shared" si="20"/>
        <v>249455.9286817573</v>
      </c>
      <c r="C306" s="4">
        <f t="shared" si="21"/>
        <v>4417.6296171351869</v>
      </c>
      <c r="D306" s="4">
        <f t="shared" si="22"/>
        <v>1091.369687982688</v>
      </c>
      <c r="E306" s="4">
        <f t="shared" si="23"/>
        <v>3326.2599291524989</v>
      </c>
    </row>
    <row r="307" spans="1:5" x14ac:dyDescent="0.25">
      <c r="A307">
        <f t="shared" si="24"/>
        <v>297</v>
      </c>
      <c r="B307" s="4">
        <f t="shared" si="20"/>
        <v>246129.6687526048</v>
      </c>
      <c r="C307" s="4">
        <f t="shared" si="21"/>
        <v>4417.6296171351869</v>
      </c>
      <c r="D307" s="4">
        <f t="shared" si="22"/>
        <v>1076.8173007926459</v>
      </c>
      <c r="E307" s="4">
        <f t="shared" si="23"/>
        <v>3340.8123163425407</v>
      </c>
    </row>
    <row r="308" spans="1:5" x14ac:dyDescent="0.25">
      <c r="A308">
        <f t="shared" si="24"/>
        <v>298</v>
      </c>
      <c r="B308" s="4">
        <f t="shared" si="20"/>
        <v>242788.85643626226</v>
      </c>
      <c r="C308" s="4">
        <f t="shared" si="21"/>
        <v>4417.6296171351869</v>
      </c>
      <c r="D308" s="4">
        <f t="shared" si="22"/>
        <v>1062.2012469086474</v>
      </c>
      <c r="E308" s="4">
        <f t="shared" si="23"/>
        <v>3355.4283702265393</v>
      </c>
    </row>
    <row r="309" spans="1:5" x14ac:dyDescent="0.25">
      <c r="A309">
        <f t="shared" si="24"/>
        <v>299</v>
      </c>
      <c r="B309" s="4">
        <f t="shared" si="20"/>
        <v>239433.4280660357</v>
      </c>
      <c r="C309" s="4">
        <f t="shared" si="21"/>
        <v>4417.6296171351869</v>
      </c>
      <c r="D309" s="4">
        <f t="shared" si="22"/>
        <v>1047.5212477889061</v>
      </c>
      <c r="E309" s="4">
        <f t="shared" si="23"/>
        <v>3370.1083693462806</v>
      </c>
    </row>
    <row r="310" spans="1:5" x14ac:dyDescent="0.25">
      <c r="A310">
        <f t="shared" si="24"/>
        <v>300</v>
      </c>
      <c r="B310" s="4">
        <f t="shared" si="20"/>
        <v>236063.31969668943</v>
      </c>
      <c r="C310" s="4">
        <f t="shared" si="21"/>
        <v>4417.6296171351869</v>
      </c>
      <c r="D310" s="4">
        <f t="shared" si="22"/>
        <v>1032.7770236730162</v>
      </c>
      <c r="E310" s="4">
        <f t="shared" si="23"/>
        <v>3384.8525934621707</v>
      </c>
    </row>
    <row r="311" spans="1:5" x14ac:dyDescent="0.25">
      <c r="A311">
        <f t="shared" si="24"/>
        <v>301</v>
      </c>
      <c r="B311" s="4">
        <f t="shared" si="20"/>
        <v>232678.46710322727</v>
      </c>
      <c r="C311" s="4">
        <f t="shared" si="21"/>
        <v>4417.6296171351869</v>
      </c>
      <c r="D311" s="4">
        <f t="shared" si="22"/>
        <v>1017.9682935766192</v>
      </c>
      <c r="E311" s="4">
        <f t="shared" si="23"/>
        <v>3399.6613235585678</v>
      </c>
    </row>
    <row r="312" spans="1:5" x14ac:dyDescent="0.25">
      <c r="A312">
        <f t="shared" si="24"/>
        <v>302</v>
      </c>
      <c r="B312" s="4">
        <f t="shared" si="20"/>
        <v>229278.80577966871</v>
      </c>
      <c r="C312" s="4">
        <f t="shared" si="21"/>
        <v>4417.6296171351869</v>
      </c>
      <c r="D312" s="4">
        <f t="shared" si="22"/>
        <v>1003.0947752860504</v>
      </c>
      <c r="E312" s="4">
        <f t="shared" si="23"/>
        <v>3414.5348418491367</v>
      </c>
    </row>
    <row r="313" spans="1:5" x14ac:dyDescent="0.25">
      <c r="A313">
        <f t="shared" si="24"/>
        <v>303</v>
      </c>
      <c r="B313" s="4">
        <f t="shared" si="20"/>
        <v>225864.27093781956</v>
      </c>
      <c r="C313" s="4">
        <f t="shared" si="21"/>
        <v>4417.6296171351869</v>
      </c>
      <c r="D313" s="4">
        <f t="shared" si="22"/>
        <v>988.15618535296051</v>
      </c>
      <c r="E313" s="4">
        <f t="shared" si="23"/>
        <v>3429.4734317822263</v>
      </c>
    </row>
    <row r="314" spans="1:5" x14ac:dyDescent="0.25">
      <c r="A314">
        <f t="shared" si="24"/>
        <v>304</v>
      </c>
      <c r="B314" s="4">
        <f t="shared" si="20"/>
        <v>222434.79750603734</v>
      </c>
      <c r="C314" s="4">
        <f t="shared" si="21"/>
        <v>4417.6296171351869</v>
      </c>
      <c r="D314" s="4">
        <f t="shared" si="22"/>
        <v>973.15223908891323</v>
      </c>
      <c r="E314" s="4">
        <f t="shared" si="23"/>
        <v>3444.4773780462738</v>
      </c>
    </row>
    <row r="315" spans="1:5" x14ac:dyDescent="0.25">
      <c r="A315">
        <f t="shared" si="24"/>
        <v>305</v>
      </c>
      <c r="B315" s="4">
        <f t="shared" si="20"/>
        <v>218990.32012799106</v>
      </c>
      <c r="C315" s="4">
        <f t="shared" si="21"/>
        <v>4417.6296171351869</v>
      </c>
      <c r="D315" s="4">
        <f t="shared" si="22"/>
        <v>958.08265055996083</v>
      </c>
      <c r="E315" s="4">
        <f t="shared" si="23"/>
        <v>3459.5469665752262</v>
      </c>
    </row>
    <row r="316" spans="1:5" x14ac:dyDescent="0.25">
      <c r="A316">
        <f t="shared" si="24"/>
        <v>306</v>
      </c>
      <c r="B316" s="4">
        <f t="shared" si="20"/>
        <v>215530.77316141583</v>
      </c>
      <c r="C316" s="4">
        <f t="shared" si="21"/>
        <v>4417.6296171351869</v>
      </c>
      <c r="D316" s="4">
        <f t="shared" si="22"/>
        <v>942.94713258119418</v>
      </c>
      <c r="E316" s="4">
        <f t="shared" si="23"/>
        <v>3474.6824845539927</v>
      </c>
    </row>
    <row r="317" spans="1:5" x14ac:dyDescent="0.25">
      <c r="A317">
        <f t="shared" si="24"/>
        <v>307</v>
      </c>
      <c r="B317" s="4">
        <f t="shared" si="20"/>
        <v>212056.09067686184</v>
      </c>
      <c r="C317" s="4">
        <f t="shared" si="21"/>
        <v>4417.6296171351869</v>
      </c>
      <c r="D317" s="4">
        <f t="shared" si="22"/>
        <v>927.74539671127047</v>
      </c>
      <c r="E317" s="4">
        <f t="shared" si="23"/>
        <v>3489.8842204239163</v>
      </c>
    </row>
    <row r="318" spans="1:5" x14ac:dyDescent="0.25">
      <c r="A318">
        <f t="shared" si="24"/>
        <v>308</v>
      </c>
      <c r="B318" s="4">
        <f t="shared" si="20"/>
        <v>208566.20645643794</v>
      </c>
      <c r="C318" s="4">
        <f t="shared" si="21"/>
        <v>4417.6296171351869</v>
      </c>
      <c r="D318" s="4">
        <f t="shared" si="22"/>
        <v>912.47715324691592</v>
      </c>
      <c r="E318" s="4">
        <f t="shared" si="23"/>
        <v>3505.1524638882711</v>
      </c>
    </row>
    <row r="319" spans="1:5" x14ac:dyDescent="0.25">
      <c r="A319">
        <f t="shared" si="24"/>
        <v>309</v>
      </c>
      <c r="B319" s="4">
        <f t="shared" si="20"/>
        <v>205061.05399254966</v>
      </c>
      <c r="C319" s="4">
        <f t="shared" si="21"/>
        <v>4417.6296171351869</v>
      </c>
      <c r="D319" s="4">
        <f t="shared" si="22"/>
        <v>897.1421112174047</v>
      </c>
      <c r="E319" s="4">
        <f t="shared" si="23"/>
        <v>3520.4875059177821</v>
      </c>
    </row>
    <row r="320" spans="1:5" x14ac:dyDescent="0.25">
      <c r="A320">
        <f t="shared" si="24"/>
        <v>310</v>
      </c>
      <c r="B320" s="4">
        <f t="shared" si="20"/>
        <v>201540.56648663187</v>
      </c>
      <c r="C320" s="4">
        <f t="shared" si="21"/>
        <v>4417.6296171351869</v>
      </c>
      <c r="D320" s="4">
        <f t="shared" si="22"/>
        <v>881.73997837901436</v>
      </c>
      <c r="E320" s="4">
        <f t="shared" si="23"/>
        <v>3535.8896387561726</v>
      </c>
    </row>
    <row r="321" spans="1:5" x14ac:dyDescent="0.25">
      <c r="A321">
        <f t="shared" si="24"/>
        <v>311</v>
      </c>
      <c r="B321" s="4">
        <f t="shared" si="20"/>
        <v>198004.6768478757</v>
      </c>
      <c r="C321" s="4">
        <f t="shared" si="21"/>
        <v>4417.6296171351869</v>
      </c>
      <c r="D321" s="4">
        <f t="shared" si="22"/>
        <v>866.27046120945613</v>
      </c>
      <c r="E321" s="4">
        <f t="shared" si="23"/>
        <v>3551.3591559257306</v>
      </c>
    </row>
    <row r="322" spans="1:5" x14ac:dyDescent="0.25">
      <c r="A322">
        <f t="shared" si="24"/>
        <v>312</v>
      </c>
      <c r="B322" s="4">
        <f t="shared" si="20"/>
        <v>194453.31769194998</v>
      </c>
      <c r="C322" s="4">
        <f t="shared" si="21"/>
        <v>4417.6296171351869</v>
      </c>
      <c r="D322" s="4">
        <f t="shared" si="22"/>
        <v>850.73326490228112</v>
      </c>
      <c r="E322" s="4">
        <f t="shared" si="23"/>
        <v>3566.8963522329059</v>
      </c>
    </row>
    <row r="323" spans="1:5" x14ac:dyDescent="0.25">
      <c r="A323">
        <f t="shared" si="24"/>
        <v>313</v>
      </c>
      <c r="B323" s="4">
        <f t="shared" si="20"/>
        <v>190886.42133971708</v>
      </c>
      <c r="C323" s="4">
        <f t="shared" si="21"/>
        <v>4417.6296171351869</v>
      </c>
      <c r="D323" s="4">
        <f t="shared" si="22"/>
        <v>835.12809336126213</v>
      </c>
      <c r="E323" s="4">
        <f t="shared" si="23"/>
        <v>3582.5015237739249</v>
      </c>
    </row>
    <row r="324" spans="1:5" x14ac:dyDescent="0.25">
      <c r="A324">
        <f t="shared" si="24"/>
        <v>314</v>
      </c>
      <c r="B324" s="4">
        <f t="shared" si="20"/>
        <v>187303.91981594317</v>
      </c>
      <c r="C324" s="4">
        <f t="shared" si="21"/>
        <v>4417.6296171351869</v>
      </c>
      <c r="D324" s="4">
        <f t="shared" si="22"/>
        <v>819.45464919475125</v>
      </c>
      <c r="E324" s="4">
        <f t="shared" si="23"/>
        <v>3598.1749679404356</v>
      </c>
    </row>
    <row r="325" spans="1:5" x14ac:dyDescent="0.25">
      <c r="A325">
        <f t="shared" si="24"/>
        <v>315</v>
      </c>
      <c r="B325" s="4">
        <f t="shared" si="20"/>
        <v>183705.74484800274</v>
      </c>
      <c r="C325" s="4">
        <f t="shared" si="21"/>
        <v>4417.6296171351869</v>
      </c>
      <c r="D325" s="4">
        <f t="shared" si="22"/>
        <v>803.71263371001191</v>
      </c>
      <c r="E325" s="4">
        <f t="shared" si="23"/>
        <v>3613.9169834251752</v>
      </c>
    </row>
    <row r="326" spans="1:5" x14ac:dyDescent="0.25">
      <c r="A326">
        <f t="shared" si="24"/>
        <v>316</v>
      </c>
      <c r="B326" s="4">
        <f t="shared" si="20"/>
        <v>180091.82786457756</v>
      </c>
      <c r="C326" s="4">
        <f t="shared" si="21"/>
        <v>4417.6296171351869</v>
      </c>
      <c r="D326" s="4">
        <f t="shared" si="22"/>
        <v>787.90174690752679</v>
      </c>
      <c r="E326" s="4">
        <f t="shared" si="23"/>
        <v>3629.7278702276599</v>
      </c>
    </row>
    <row r="327" spans="1:5" x14ac:dyDescent="0.25">
      <c r="A327">
        <f t="shared" si="24"/>
        <v>317</v>
      </c>
      <c r="B327" s="4">
        <f t="shared" si="20"/>
        <v>176462.0999943499</v>
      </c>
      <c r="C327" s="4">
        <f t="shared" si="21"/>
        <v>4417.6296171351869</v>
      </c>
      <c r="D327" s="4">
        <f t="shared" si="22"/>
        <v>772.02168747528071</v>
      </c>
      <c r="E327" s="4">
        <f t="shared" si="23"/>
        <v>3645.6079296599064</v>
      </c>
    </row>
    <row r="328" spans="1:5" x14ac:dyDescent="0.25">
      <c r="A328">
        <f t="shared" si="24"/>
        <v>318</v>
      </c>
      <c r="B328" s="4">
        <f t="shared" si="20"/>
        <v>172816.49206468998</v>
      </c>
      <c r="C328" s="4">
        <f t="shared" si="21"/>
        <v>4417.6296171351869</v>
      </c>
      <c r="D328" s="4">
        <f t="shared" si="22"/>
        <v>756.07215278301862</v>
      </c>
      <c r="E328" s="4">
        <f t="shared" si="23"/>
        <v>3661.5574643521682</v>
      </c>
    </row>
    <row r="329" spans="1:5" x14ac:dyDescent="0.25">
      <c r="A329">
        <f t="shared" si="24"/>
        <v>319</v>
      </c>
      <c r="B329" s="4">
        <f t="shared" si="20"/>
        <v>169154.93460033782</v>
      </c>
      <c r="C329" s="4">
        <f t="shared" si="21"/>
        <v>4417.6296171351869</v>
      </c>
      <c r="D329" s="4">
        <f t="shared" si="22"/>
        <v>740.05283887647784</v>
      </c>
      <c r="E329" s="4">
        <f t="shared" si="23"/>
        <v>3677.5767782587091</v>
      </c>
    </row>
    <row r="330" spans="1:5" x14ac:dyDescent="0.25">
      <c r="A330">
        <f t="shared" si="24"/>
        <v>320</v>
      </c>
      <c r="B330" s="4">
        <f t="shared" si="20"/>
        <v>165477.3578220791</v>
      </c>
      <c r="C330" s="4">
        <f t="shared" si="21"/>
        <v>4417.6296171351869</v>
      </c>
      <c r="D330" s="4">
        <f t="shared" si="22"/>
        <v>723.96344047159596</v>
      </c>
      <c r="E330" s="4">
        <f t="shared" si="23"/>
        <v>3693.6661766635907</v>
      </c>
    </row>
    <row r="331" spans="1:5" x14ac:dyDescent="0.25">
      <c r="A331">
        <f t="shared" si="24"/>
        <v>321</v>
      </c>
      <c r="B331" s="4">
        <f t="shared" si="20"/>
        <v>161783.6916454155</v>
      </c>
      <c r="C331" s="4">
        <f t="shared" si="21"/>
        <v>4417.6296171351869</v>
      </c>
      <c r="D331" s="4">
        <f t="shared" si="22"/>
        <v>707.80365094869273</v>
      </c>
      <c r="E331" s="4">
        <f t="shared" si="23"/>
        <v>3709.825966186494</v>
      </c>
    </row>
    <row r="332" spans="1:5" x14ac:dyDescent="0.25">
      <c r="A332">
        <f t="shared" si="24"/>
        <v>322</v>
      </c>
      <c r="B332" s="4">
        <f t="shared" si="20"/>
        <v>158073.865679229</v>
      </c>
      <c r="C332" s="4">
        <f t="shared" si="21"/>
        <v>4417.6296171351869</v>
      </c>
      <c r="D332" s="4">
        <f t="shared" si="22"/>
        <v>691.57316234662676</v>
      </c>
      <c r="E332" s="4">
        <f t="shared" si="23"/>
        <v>3726.0564547885601</v>
      </c>
    </row>
    <row r="333" spans="1:5" x14ac:dyDescent="0.25">
      <c r="A333">
        <f t="shared" si="24"/>
        <v>323</v>
      </c>
      <c r="B333" s="4">
        <f t="shared" ref="B333:B371" si="25">B332-E332</f>
        <v>154347.80922444043</v>
      </c>
      <c r="C333" s="4">
        <f t="shared" ref="C333:C371" si="26">$B$7</f>
        <v>4417.6296171351869</v>
      </c>
      <c r="D333" s="4">
        <f t="shared" ref="D333:D371" si="27">$B$5*B333</f>
        <v>675.27166535692675</v>
      </c>
      <c r="E333" s="4">
        <f t="shared" ref="E333:E371" si="28">C333-D333</f>
        <v>3742.35795177826</v>
      </c>
    </row>
    <row r="334" spans="1:5" x14ac:dyDescent="0.25">
      <c r="A334">
        <f t="shared" ref="A334:A375" si="29">A333+1</f>
        <v>324</v>
      </c>
      <c r="B334" s="4">
        <f t="shared" si="25"/>
        <v>150605.45127266218</v>
      </c>
      <c r="C334" s="4">
        <f t="shared" si="26"/>
        <v>4417.6296171351869</v>
      </c>
      <c r="D334" s="4">
        <f t="shared" si="27"/>
        <v>658.89884931789697</v>
      </c>
      <c r="E334" s="4">
        <f t="shared" si="28"/>
        <v>3758.7307678172901</v>
      </c>
    </row>
    <row r="335" spans="1:5" x14ac:dyDescent="0.25">
      <c r="A335">
        <f t="shared" si="29"/>
        <v>325</v>
      </c>
      <c r="B335" s="4">
        <f t="shared" si="25"/>
        <v>146846.72050484488</v>
      </c>
      <c r="C335" s="4">
        <f t="shared" si="26"/>
        <v>4417.6296171351869</v>
      </c>
      <c r="D335" s="4">
        <f t="shared" si="27"/>
        <v>642.45440220869625</v>
      </c>
      <c r="E335" s="4">
        <f t="shared" si="28"/>
        <v>3775.1752149264908</v>
      </c>
    </row>
    <row r="336" spans="1:5" x14ac:dyDescent="0.25">
      <c r="A336">
        <f t="shared" si="29"/>
        <v>326</v>
      </c>
      <c r="B336" s="4">
        <f t="shared" si="25"/>
        <v>143071.5452899184</v>
      </c>
      <c r="C336" s="4">
        <f t="shared" si="26"/>
        <v>4417.6296171351869</v>
      </c>
      <c r="D336" s="4">
        <f t="shared" si="27"/>
        <v>625.938010643393</v>
      </c>
      <c r="E336" s="4">
        <f t="shared" si="28"/>
        <v>3791.6916064917941</v>
      </c>
    </row>
    <row r="337" spans="1:5" x14ac:dyDescent="0.25">
      <c r="A337">
        <f t="shared" si="29"/>
        <v>327</v>
      </c>
      <c r="B337" s="4">
        <f t="shared" si="25"/>
        <v>139279.8536834266</v>
      </c>
      <c r="C337" s="4">
        <f t="shared" si="26"/>
        <v>4417.6296171351869</v>
      </c>
      <c r="D337" s="4">
        <f t="shared" si="27"/>
        <v>609.34935986499136</v>
      </c>
      <c r="E337" s="4">
        <f t="shared" si="28"/>
        <v>3808.2802572701958</v>
      </c>
    </row>
    <row r="338" spans="1:5" x14ac:dyDescent="0.25">
      <c r="A338">
        <f t="shared" si="29"/>
        <v>328</v>
      </c>
      <c r="B338" s="4">
        <f t="shared" si="25"/>
        <v>135471.57342615639</v>
      </c>
      <c r="C338" s="4">
        <f t="shared" si="26"/>
        <v>4417.6296171351869</v>
      </c>
      <c r="D338" s="4">
        <f t="shared" si="27"/>
        <v>592.68813373943419</v>
      </c>
      <c r="E338" s="4">
        <f t="shared" si="28"/>
        <v>3824.9414833957526</v>
      </c>
    </row>
    <row r="339" spans="1:5" x14ac:dyDescent="0.25">
      <c r="A339">
        <f t="shared" si="29"/>
        <v>329</v>
      </c>
      <c r="B339" s="4">
        <f t="shared" si="25"/>
        <v>131646.63194276064</v>
      </c>
      <c r="C339" s="4">
        <f t="shared" si="26"/>
        <v>4417.6296171351869</v>
      </c>
      <c r="D339" s="4">
        <f t="shared" si="27"/>
        <v>575.95401474957771</v>
      </c>
      <c r="E339" s="4">
        <f t="shared" si="28"/>
        <v>3841.6756023856092</v>
      </c>
    </row>
    <row r="340" spans="1:5" x14ac:dyDescent="0.25">
      <c r="A340">
        <f t="shared" si="29"/>
        <v>330</v>
      </c>
      <c r="B340" s="4">
        <f t="shared" si="25"/>
        <v>127804.95634037502</v>
      </c>
      <c r="C340" s="4">
        <f t="shared" si="26"/>
        <v>4417.6296171351869</v>
      </c>
      <c r="D340" s="4">
        <f t="shared" si="27"/>
        <v>559.14668398914068</v>
      </c>
      <c r="E340" s="4">
        <f t="shared" si="28"/>
        <v>3858.482933146046</v>
      </c>
    </row>
    <row r="341" spans="1:5" x14ac:dyDescent="0.25">
      <c r="A341">
        <f t="shared" si="29"/>
        <v>331</v>
      </c>
      <c r="B341" s="4">
        <f t="shared" si="25"/>
        <v>123946.47340722897</v>
      </c>
      <c r="C341" s="4">
        <f t="shared" si="26"/>
        <v>4417.6296171351869</v>
      </c>
      <c r="D341" s="4">
        <f t="shared" si="27"/>
        <v>542.26582115662666</v>
      </c>
      <c r="E341" s="4">
        <f t="shared" si="28"/>
        <v>3875.3637959785601</v>
      </c>
    </row>
    <row r="342" spans="1:5" x14ac:dyDescent="0.25">
      <c r="A342">
        <f t="shared" si="29"/>
        <v>332</v>
      </c>
      <c r="B342" s="4">
        <f t="shared" si="25"/>
        <v>120071.10961125042</v>
      </c>
      <c r="C342" s="4">
        <f t="shared" si="26"/>
        <v>4417.6296171351869</v>
      </c>
      <c r="D342" s="4">
        <f t="shared" si="27"/>
        <v>525.31110454922054</v>
      </c>
      <c r="E342" s="4">
        <f t="shared" si="28"/>
        <v>3892.3185125859663</v>
      </c>
    </row>
    <row r="343" spans="1:5" x14ac:dyDescent="0.25">
      <c r="A343">
        <f t="shared" si="29"/>
        <v>333</v>
      </c>
      <c r="B343" s="4">
        <f t="shared" si="25"/>
        <v>116178.79109866446</v>
      </c>
      <c r="C343" s="4">
        <f t="shared" si="26"/>
        <v>4417.6296171351869</v>
      </c>
      <c r="D343" s="4">
        <f t="shared" si="27"/>
        <v>508.28221105665693</v>
      </c>
      <c r="E343" s="4">
        <f t="shared" si="28"/>
        <v>3909.3474060785302</v>
      </c>
    </row>
    <row r="344" spans="1:5" x14ac:dyDescent="0.25">
      <c r="A344">
        <f t="shared" si="29"/>
        <v>334</v>
      </c>
      <c r="B344" s="4">
        <f t="shared" si="25"/>
        <v>112269.44369258592</v>
      </c>
      <c r="C344" s="4">
        <f t="shared" si="26"/>
        <v>4417.6296171351869</v>
      </c>
      <c r="D344" s="4">
        <f t="shared" si="27"/>
        <v>491.17881615506337</v>
      </c>
      <c r="E344" s="4">
        <f t="shared" si="28"/>
        <v>3926.4508009801234</v>
      </c>
    </row>
    <row r="345" spans="1:5" x14ac:dyDescent="0.25">
      <c r="A345">
        <f t="shared" si="29"/>
        <v>335</v>
      </c>
      <c r="B345" s="4">
        <f t="shared" si="25"/>
        <v>108342.9928916058</v>
      </c>
      <c r="C345" s="4">
        <f t="shared" si="26"/>
        <v>4417.6296171351869</v>
      </c>
      <c r="D345" s="4">
        <f t="shared" si="27"/>
        <v>474.0005939007753</v>
      </c>
      <c r="E345" s="4">
        <f t="shared" si="28"/>
        <v>3943.6290232344118</v>
      </c>
    </row>
    <row r="346" spans="1:5" x14ac:dyDescent="0.25">
      <c r="A346">
        <f t="shared" si="29"/>
        <v>336</v>
      </c>
      <c r="B346" s="4">
        <f t="shared" si="25"/>
        <v>104399.36386837138</v>
      </c>
      <c r="C346" s="4">
        <f t="shared" si="26"/>
        <v>4417.6296171351869</v>
      </c>
      <c r="D346" s="4">
        <f t="shared" si="27"/>
        <v>456.74721692412476</v>
      </c>
      <c r="E346" s="4">
        <f t="shared" si="28"/>
        <v>3960.8824002110623</v>
      </c>
    </row>
    <row r="347" spans="1:5" x14ac:dyDescent="0.25">
      <c r="A347">
        <f t="shared" si="29"/>
        <v>337</v>
      </c>
      <c r="B347" s="4">
        <f t="shared" si="25"/>
        <v>100438.48146816032</v>
      </c>
      <c r="C347" s="4">
        <f t="shared" si="26"/>
        <v>4417.6296171351869</v>
      </c>
      <c r="D347" s="4">
        <f t="shared" si="27"/>
        <v>439.41835642320132</v>
      </c>
      <c r="E347" s="4">
        <f t="shared" si="28"/>
        <v>3978.2112607119857</v>
      </c>
    </row>
    <row r="348" spans="1:5" x14ac:dyDescent="0.25">
      <c r="A348">
        <f t="shared" si="29"/>
        <v>338</v>
      </c>
      <c r="B348" s="4">
        <f t="shared" si="25"/>
        <v>96460.270207448324</v>
      </c>
      <c r="C348" s="4">
        <f t="shared" si="26"/>
        <v>4417.6296171351869</v>
      </c>
      <c r="D348" s="4">
        <f t="shared" si="27"/>
        <v>422.0136821575864</v>
      </c>
      <c r="E348" s="4">
        <f t="shared" si="28"/>
        <v>3995.6159349776003</v>
      </c>
    </row>
    <row r="349" spans="1:5" x14ac:dyDescent="0.25">
      <c r="A349">
        <f t="shared" si="29"/>
        <v>339</v>
      </c>
      <c r="B349" s="4">
        <f t="shared" si="25"/>
        <v>92464.654272470725</v>
      </c>
      <c r="C349" s="4">
        <f t="shared" si="26"/>
        <v>4417.6296171351869</v>
      </c>
      <c r="D349" s="4">
        <f t="shared" si="27"/>
        <v>404.53286244205935</v>
      </c>
      <c r="E349" s="4">
        <f t="shared" si="28"/>
        <v>4013.0967546931274</v>
      </c>
    </row>
    <row r="350" spans="1:5" x14ac:dyDescent="0.25">
      <c r="A350">
        <f t="shared" si="29"/>
        <v>340</v>
      </c>
      <c r="B350" s="4">
        <f t="shared" si="25"/>
        <v>88451.557517777605</v>
      </c>
      <c r="C350" s="4">
        <f t="shared" si="26"/>
        <v>4417.6296171351869</v>
      </c>
      <c r="D350" s="4">
        <f t="shared" si="27"/>
        <v>386.97556414027696</v>
      </c>
      <c r="E350" s="4">
        <f t="shared" si="28"/>
        <v>4030.6540529949098</v>
      </c>
    </row>
    <row r="351" spans="1:5" x14ac:dyDescent="0.25">
      <c r="A351">
        <f t="shared" si="29"/>
        <v>341</v>
      </c>
      <c r="B351" s="4">
        <f t="shared" si="25"/>
        <v>84420.903464782692</v>
      </c>
      <c r="C351" s="4">
        <f t="shared" si="26"/>
        <v>4417.6296171351869</v>
      </c>
      <c r="D351" s="4">
        <f t="shared" si="27"/>
        <v>369.34145265842426</v>
      </c>
      <c r="E351" s="4">
        <f t="shared" si="28"/>
        <v>4048.2881644767626</v>
      </c>
    </row>
    <row r="352" spans="1:5" x14ac:dyDescent="0.25">
      <c r="A352">
        <f t="shared" si="29"/>
        <v>342</v>
      </c>
      <c r="B352" s="4">
        <f t="shared" si="25"/>
        <v>80372.61530030593</v>
      </c>
      <c r="C352" s="4">
        <f t="shared" si="26"/>
        <v>4417.6296171351869</v>
      </c>
      <c r="D352" s="4">
        <f t="shared" si="27"/>
        <v>351.63019193883838</v>
      </c>
      <c r="E352" s="4">
        <f t="shared" si="28"/>
        <v>4065.9994251963485</v>
      </c>
    </row>
    <row r="353" spans="1:5" x14ac:dyDescent="0.25">
      <c r="A353">
        <f t="shared" si="29"/>
        <v>343</v>
      </c>
      <c r="B353" s="4">
        <f t="shared" si="25"/>
        <v>76306.615875109579</v>
      </c>
      <c r="C353" s="4">
        <f t="shared" si="26"/>
        <v>4417.6296171351869</v>
      </c>
      <c r="D353" s="4">
        <f t="shared" si="27"/>
        <v>333.84144445360437</v>
      </c>
      <c r="E353" s="4">
        <f t="shared" si="28"/>
        <v>4083.7881726815826</v>
      </c>
    </row>
    <row r="354" spans="1:5" x14ac:dyDescent="0.25">
      <c r="A354">
        <f t="shared" si="29"/>
        <v>344</v>
      </c>
      <c r="B354" s="4">
        <f t="shared" si="25"/>
        <v>72222.827702427996</v>
      </c>
      <c r="C354" s="4">
        <f t="shared" si="26"/>
        <v>4417.6296171351869</v>
      </c>
      <c r="D354" s="4">
        <f t="shared" si="27"/>
        <v>315.97487119812246</v>
      </c>
      <c r="E354" s="4">
        <f t="shared" si="28"/>
        <v>4101.654745937064</v>
      </c>
    </row>
    <row r="355" spans="1:5" x14ac:dyDescent="0.25">
      <c r="A355">
        <f t="shared" si="29"/>
        <v>345</v>
      </c>
      <c r="B355" s="4">
        <f t="shared" si="25"/>
        <v>68121.172956490933</v>
      </c>
      <c r="C355" s="4">
        <f t="shared" si="26"/>
        <v>4417.6296171351869</v>
      </c>
      <c r="D355" s="4">
        <f t="shared" si="27"/>
        <v>298.03013168464781</v>
      </c>
      <c r="E355" s="4">
        <f t="shared" si="28"/>
        <v>4119.5994854505389</v>
      </c>
    </row>
    <row r="356" spans="1:5" x14ac:dyDescent="0.25">
      <c r="A356">
        <f t="shared" si="29"/>
        <v>346</v>
      </c>
      <c r="B356" s="4">
        <f t="shared" si="25"/>
        <v>64001.573471040392</v>
      </c>
      <c r="C356" s="4">
        <f t="shared" si="26"/>
        <v>4417.6296171351869</v>
      </c>
      <c r="D356" s="4">
        <f t="shared" si="27"/>
        <v>280.00688393580168</v>
      </c>
      <c r="E356" s="4">
        <f t="shared" si="28"/>
        <v>4137.622733199385</v>
      </c>
    </row>
    <row r="357" spans="1:5" x14ac:dyDescent="0.25">
      <c r="A357">
        <f t="shared" si="29"/>
        <v>347</v>
      </c>
      <c r="B357" s="4">
        <f t="shared" si="25"/>
        <v>59863.950737841005</v>
      </c>
      <c r="C357" s="4">
        <f t="shared" si="26"/>
        <v>4417.6296171351869</v>
      </c>
      <c r="D357" s="4">
        <f t="shared" si="27"/>
        <v>261.90478447805435</v>
      </c>
      <c r="E357" s="4">
        <f t="shared" si="28"/>
        <v>4155.7248326571325</v>
      </c>
    </row>
    <row r="358" spans="1:5" x14ac:dyDescent="0.25">
      <c r="A358">
        <f t="shared" si="29"/>
        <v>348</v>
      </c>
      <c r="B358" s="4">
        <f t="shared" si="25"/>
        <v>55708.22590518387</v>
      </c>
      <c r="C358" s="4">
        <f t="shared" si="26"/>
        <v>4417.6296171351869</v>
      </c>
      <c r="D358" s="4">
        <f t="shared" si="27"/>
        <v>243.72348833517941</v>
      </c>
      <c r="E358" s="4">
        <f t="shared" si="28"/>
        <v>4173.9061288000075</v>
      </c>
    </row>
    <row r="359" spans="1:5" x14ac:dyDescent="0.25">
      <c r="A359">
        <f t="shared" si="29"/>
        <v>349</v>
      </c>
      <c r="B359" s="4">
        <f t="shared" si="25"/>
        <v>51534.319776383862</v>
      </c>
      <c r="C359" s="4">
        <f t="shared" si="26"/>
        <v>4417.6296171351869</v>
      </c>
      <c r="D359" s="4">
        <f t="shared" si="27"/>
        <v>225.46264902167937</v>
      </c>
      <c r="E359" s="4">
        <f t="shared" si="28"/>
        <v>4192.1669681135072</v>
      </c>
    </row>
    <row r="360" spans="1:5" x14ac:dyDescent="0.25">
      <c r="A360">
        <f t="shared" si="29"/>
        <v>350</v>
      </c>
      <c r="B360" s="4">
        <f t="shared" si="25"/>
        <v>47342.152808270352</v>
      </c>
      <c r="C360" s="4">
        <f t="shared" si="26"/>
        <v>4417.6296171351869</v>
      </c>
      <c r="D360" s="4">
        <f t="shared" si="27"/>
        <v>207.12191853618276</v>
      </c>
      <c r="E360" s="4">
        <f t="shared" si="28"/>
        <v>4210.5076985990045</v>
      </c>
    </row>
    <row r="361" spans="1:5" x14ac:dyDescent="0.25">
      <c r="A361">
        <f t="shared" si="29"/>
        <v>351</v>
      </c>
      <c r="B361" s="4">
        <f t="shared" si="25"/>
        <v>43131.64510967135</v>
      </c>
      <c r="C361" s="4">
        <f t="shared" si="26"/>
        <v>4417.6296171351869</v>
      </c>
      <c r="D361" s="4">
        <f t="shared" si="27"/>
        <v>188.70094735481214</v>
      </c>
      <c r="E361" s="4">
        <f t="shared" si="28"/>
        <v>4228.9286697803745</v>
      </c>
    </row>
    <row r="362" spans="1:5" x14ac:dyDescent="0.25">
      <c r="A362">
        <f t="shared" si="29"/>
        <v>352</v>
      </c>
      <c r="B362" s="4">
        <f t="shared" si="25"/>
        <v>38902.716439890974</v>
      </c>
      <c r="C362" s="4">
        <f t="shared" si="26"/>
        <v>4417.6296171351869</v>
      </c>
      <c r="D362" s="4">
        <f t="shared" si="27"/>
        <v>170.199384424523</v>
      </c>
      <c r="E362" s="4">
        <f t="shared" si="28"/>
        <v>4247.4302327106643</v>
      </c>
    </row>
    <row r="363" spans="1:5" x14ac:dyDescent="0.25">
      <c r="A363">
        <f t="shared" si="29"/>
        <v>353</v>
      </c>
      <c r="B363" s="4">
        <f t="shared" si="25"/>
        <v>34655.28620718031</v>
      </c>
      <c r="C363" s="4">
        <f t="shared" si="26"/>
        <v>4417.6296171351869</v>
      </c>
      <c r="D363" s="4">
        <f t="shared" si="27"/>
        <v>151.61687715641384</v>
      </c>
      <c r="E363" s="4">
        <f t="shared" si="28"/>
        <v>4266.0127399787734</v>
      </c>
    </row>
    <row r="364" spans="1:5" x14ac:dyDescent="0.25">
      <c r="A364">
        <f t="shared" si="29"/>
        <v>354</v>
      </c>
      <c r="B364" s="4">
        <f t="shared" si="25"/>
        <v>30389.273467201536</v>
      </c>
      <c r="C364" s="4">
        <f t="shared" si="26"/>
        <v>4417.6296171351869</v>
      </c>
      <c r="D364" s="4">
        <f t="shared" si="27"/>
        <v>132.9530714190067</v>
      </c>
      <c r="E364" s="4">
        <f t="shared" si="28"/>
        <v>4284.67654571618</v>
      </c>
    </row>
    <row r="365" spans="1:5" x14ac:dyDescent="0.25">
      <c r="A365">
        <f t="shared" si="29"/>
        <v>355</v>
      </c>
      <c r="B365" s="4">
        <f t="shared" si="25"/>
        <v>26104.596921485354</v>
      </c>
      <c r="C365" s="4">
        <f t="shared" si="26"/>
        <v>4417.6296171351869</v>
      </c>
      <c r="D365" s="4">
        <f t="shared" si="27"/>
        <v>114.20761153149842</v>
      </c>
      <c r="E365" s="4">
        <f t="shared" si="28"/>
        <v>4303.4220056036884</v>
      </c>
    </row>
    <row r="366" spans="1:5" x14ac:dyDescent="0.25">
      <c r="A366">
        <f t="shared" si="29"/>
        <v>356</v>
      </c>
      <c r="B366" s="4">
        <f t="shared" si="25"/>
        <v>21801.174915881667</v>
      </c>
      <c r="C366" s="4">
        <f t="shared" si="26"/>
        <v>4417.6296171351869</v>
      </c>
      <c r="D366" s="4">
        <f t="shared" si="27"/>
        <v>95.380140256982287</v>
      </c>
      <c r="E366" s="4">
        <f t="shared" si="28"/>
        <v>4322.2494768782044</v>
      </c>
    </row>
    <row r="367" spans="1:5" x14ac:dyDescent="0.25">
      <c r="A367">
        <f t="shared" si="29"/>
        <v>357</v>
      </c>
      <c r="B367" s="4">
        <f t="shared" si="25"/>
        <v>17478.925439003462</v>
      </c>
      <c r="C367" s="4">
        <f t="shared" si="26"/>
        <v>4417.6296171351869</v>
      </c>
      <c r="D367" s="4">
        <f t="shared" si="27"/>
        <v>76.470298795640133</v>
      </c>
      <c r="E367" s="4">
        <f t="shared" si="28"/>
        <v>4341.1593183395471</v>
      </c>
    </row>
    <row r="368" spans="1:5" x14ac:dyDescent="0.25">
      <c r="A368">
        <f t="shared" si="29"/>
        <v>358</v>
      </c>
      <c r="B368" s="4">
        <f t="shared" si="25"/>
        <v>13137.766120663915</v>
      </c>
      <c r="C368" s="4">
        <f t="shared" si="26"/>
        <v>4417.6296171351869</v>
      </c>
      <c r="D368" s="4">
        <f t="shared" si="27"/>
        <v>57.477726777904621</v>
      </c>
      <c r="E368" s="4">
        <f t="shared" si="28"/>
        <v>4360.1518903572824</v>
      </c>
    </row>
    <row r="369" spans="1:5" x14ac:dyDescent="0.25">
      <c r="A369">
        <f t="shared" si="29"/>
        <v>359</v>
      </c>
      <c r="B369" s="4">
        <f t="shared" si="25"/>
        <v>8777.6142303066335</v>
      </c>
      <c r="C369" s="4">
        <f t="shared" si="26"/>
        <v>4417.6296171351869</v>
      </c>
      <c r="D369" s="4">
        <f t="shared" si="27"/>
        <v>38.402062257591517</v>
      </c>
      <c r="E369" s="4">
        <f t="shared" si="28"/>
        <v>4379.2275548775951</v>
      </c>
    </row>
    <row r="370" spans="1:5" x14ac:dyDescent="0.25">
      <c r="A370">
        <f t="shared" si="29"/>
        <v>360</v>
      </c>
      <c r="B370" s="4">
        <f t="shared" si="25"/>
        <v>4398.3866754290384</v>
      </c>
      <c r="C370" s="4">
        <f t="shared" si="26"/>
        <v>4417.6296171351869</v>
      </c>
      <c r="D370" s="4">
        <f t="shared" si="27"/>
        <v>19.242941705002043</v>
      </c>
      <c r="E370" s="4">
        <f t="shared" si="28"/>
        <v>4398.3866754301853</v>
      </c>
    </row>
    <row r="371" spans="1:5" x14ac:dyDescent="0.25">
      <c r="A371">
        <f t="shared" si="29"/>
        <v>361</v>
      </c>
      <c r="B371" s="11">
        <f t="shared" si="25"/>
        <v>-1.1468728189356625E-9</v>
      </c>
      <c r="C371" s="4"/>
      <c r="D371" s="4"/>
      <c r="E371" s="4"/>
    </row>
  </sheetData>
  <mergeCells count="2">
    <mergeCell ref="A1:G1"/>
    <mergeCell ref="D9:E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3F07-067A-4CDA-B8F2-1A97B9198F15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</dc:creator>
  <cp:lastModifiedBy>x</cp:lastModifiedBy>
  <dcterms:created xsi:type="dcterms:W3CDTF">2025-05-26T11:46:14Z</dcterms:created>
  <dcterms:modified xsi:type="dcterms:W3CDTF">2025-05-26T12:32:41Z</dcterms:modified>
</cp:coreProperties>
</file>