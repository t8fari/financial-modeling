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<sst xmlns="http://schemas.openxmlformats.org/spreadsheetml/2006/main" count="139" uniqueCount="80">
  <si>
    <t xml:space="preserve">Acme Corporation</t>
  </si>
  <si>
    <t xml:space="preserve">Income Statement Year Ended 31 December 2018</t>
  </si>
  <si>
    <t xml:space="preserve">Cash Flow Statement 31 December 2018 (Indirect method)</t>
  </si>
  <si>
    <t xml:space="preserve">Cash Flow Statement 31 December 2018 (Direct method)</t>
  </si>
  <si>
    <t xml:space="preserve">Revenue (net)</t>
  </si>
  <si>
    <t xml:space="preserve">Cash flow from operating activities</t>
  </si>
  <si>
    <t xml:space="preserve">Cost of goods sold</t>
  </si>
  <si>
    <t xml:space="preserve">Net income</t>
  </si>
  <si>
    <t xml:space="preserve">Cash received from customers</t>
  </si>
  <si>
    <t xml:space="preserve">Gross profit</t>
  </si>
  <si>
    <t xml:space="preserve">Depreciation</t>
  </si>
  <si>
    <t xml:space="preserve">Cash paid to suppliers</t>
  </si>
  <si>
    <t xml:space="preserve">Salary and wage expenses</t>
  </si>
  <si>
    <t xml:space="preserve">Gain on sale of equipment</t>
  </si>
  <si>
    <t xml:space="preserve">Cash paid for salary and wages</t>
  </si>
  <si>
    <t xml:space="preserve">Depreciation expense</t>
  </si>
  <si>
    <t xml:space="preserve">Increase in accounts receivable</t>
  </si>
  <si>
    <t xml:space="preserve">Cash paid for other operating expenses</t>
  </si>
  <si>
    <t xml:space="preserve">Other operating expenses</t>
  </si>
  <si>
    <t xml:space="preserve">Increase in inventory</t>
  </si>
  <si>
    <t xml:space="preserve">Cash paid for interest</t>
  </si>
  <si>
    <t xml:space="preserve">Total operating expenses</t>
  </si>
  <si>
    <t xml:space="preserve">Decrease in prepaid expenses</t>
  </si>
  <si>
    <t xml:space="preserve">Cash paid for income tax</t>
  </si>
  <si>
    <t xml:space="preserve">Operating profit</t>
  </si>
  <si>
    <t xml:space="preserve">Increase in accounts payable</t>
  </si>
  <si>
    <t xml:space="preserve">Net cash flow from operating activities</t>
  </si>
  <si>
    <t xml:space="preserve">Other revenues (expenses)</t>
  </si>
  <si>
    <t xml:space="preserve">Increase in salary and wage payable</t>
  </si>
  <si>
    <t xml:space="preserve">Decrease in interest payable</t>
  </si>
  <si>
    <t xml:space="preserve">Cash flow from investing activities</t>
  </si>
  <si>
    <t xml:space="preserve">Interest expense</t>
  </si>
  <si>
    <t xml:space="preserve">Increase in income tax payable</t>
  </si>
  <si>
    <t xml:space="preserve">Sale of equipment</t>
  </si>
  <si>
    <t xml:space="preserve">Income before tax</t>
  </si>
  <si>
    <t xml:space="preserve">Increase in other accrued liabilities</t>
  </si>
  <si>
    <t xml:space="preserve">Purchase of equipment</t>
  </si>
  <si>
    <t xml:space="preserve">Income tax expense</t>
  </si>
  <si>
    <t xml:space="preserve">Net cash flow from investing activities</t>
  </si>
  <si>
    <t xml:space="preserve">Cash flow from financing activities</t>
  </si>
  <si>
    <t xml:space="preserve">Dividends paid</t>
  </si>
  <si>
    <t xml:space="preserve">Balance Sheets 31 December 2018 and 2017</t>
  </si>
  <si>
    <t xml:space="preserve">Repurchase of common stock</t>
  </si>
  <si>
    <t xml:space="preserve">Net change</t>
  </si>
  <si>
    <t xml:space="preserve">Retirement of long-term debt</t>
  </si>
  <si>
    <t xml:space="preserve">Cash</t>
  </si>
  <si>
    <t xml:space="preserve">Net cash flow from financing activities</t>
  </si>
  <si>
    <t xml:space="preserve">Accounts receivable</t>
  </si>
  <si>
    <t xml:space="preserve">Inventory</t>
  </si>
  <si>
    <t xml:space="preserve">Decrease in cash</t>
  </si>
  <si>
    <t xml:space="preserve">Prepaid expenses</t>
  </si>
  <si>
    <t xml:space="preserve">Total current assets</t>
  </si>
  <si>
    <t xml:space="preserve">Land</t>
  </si>
  <si>
    <t xml:space="preserve">Common-Size Cash Flow Statement – Total inflows(outflows) approach</t>
  </si>
  <si>
    <t xml:space="preserve">Buildings</t>
  </si>
  <si>
    <t xml:space="preserve">Inflows</t>
  </si>
  <si>
    <t xml:space="preserve">Equipment</t>
  </si>
  <si>
    <t xml:space="preserve">Less accumulated depreciation</t>
  </si>
  <si>
    <t xml:space="preserve">Cash received from sale of equipment</t>
  </si>
  <si>
    <t xml:space="preserve">Total long-term assets</t>
  </si>
  <si>
    <t xml:space="preserve">Total</t>
  </si>
  <si>
    <t xml:space="preserve">Total assets</t>
  </si>
  <si>
    <t xml:space="preserve">Cost of equipment sold</t>
  </si>
  <si>
    <t xml:space="preserve">Depreciation on the equipment sold</t>
  </si>
  <si>
    <t xml:space="preserve">Outflows</t>
  </si>
  <si>
    <t xml:space="preserve">Accounts payable</t>
  </si>
  <si>
    <t xml:space="preserve">Cash received from the sale of equipment</t>
  </si>
  <si>
    <t xml:space="preserve">Salary and wage payable</t>
  </si>
  <si>
    <t xml:space="preserve">Interest payable</t>
  </si>
  <si>
    <t xml:space="preserve">Income tax payable</t>
  </si>
  <si>
    <t xml:space="preserve">Common-size Cash Flow Statement – Total inflows(outflows) approach</t>
  </si>
  <si>
    <t xml:space="preserve">Other accrued liabilities</t>
  </si>
  <si>
    <t xml:space="preserve">Total current liabilities</t>
  </si>
  <si>
    <t xml:space="preserve">Long-term debt</t>
  </si>
  <si>
    <t xml:space="preserve">Common stock</t>
  </si>
  <si>
    <t xml:space="preserve">Retained earnings</t>
  </si>
  <si>
    <t xml:space="preserve">Total liabilities and equity</t>
  </si>
  <si>
    <t xml:space="preserve">Net increase(decrease) in cash</t>
  </si>
  <si>
    <t xml:space="preserve">Common-size Cash Flow Statement – Net Revenue Approach</t>
  </si>
  <si>
    <t xml:space="preserve">% of Net Revenue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</si>
</sst>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"/>
    <numFmt numFmtId="166" formatCode="0.00%"/>
    <numFmt numFmtId="167" formatCode="General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u val="single"/>
      <sz val="11"/>
      <name val="Calibri"/>
      <family val="2"/>
      <charset val="1"/>
    </font>
    <font>
      <i val="true"/>
      <sz val="11"/>
      <name val="Calibri"/>
      <family val="2"/>
      <charset val="1"/>
    </font>
    <font>
      <i val="true"/>
      <u val="single"/>
      <sz val="11"/>
      <name val="Calibri"/>
      <family val="2"/>
      <charset val="1"/>
    </font>
    <font>
      <b val="true"/>
      <i val="true"/>
      <sz val="1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1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9"/>
  <sheetViews>
    <sheetView showFormulas="false" showGridLines="true" showRowColHeaders="true" showZeros="true" rightToLeft="false" tabSelected="true" showOutlineSymbols="true" defaultGridColor="true" view="normal" topLeftCell="A13" colorId="64" zoomScale="61" zoomScaleNormal="61" zoomScalePageLayoutView="100" workbookViewId="0">
      <selection pane="topLeft" activeCell="K40" activeCellId="0" sqref="K40"/>
    </sheetView>
  </sheetViews>
  <sheetFormatPr defaultColWidth="11.53515625" defaultRowHeight="13.8" zeroHeight="false" outlineLevelRow="0" outlineLevelCol="0"/>
  <cols>
    <col collapsed="false" customWidth="true" hidden="false" outlineLevel="0" max="1" min="1" style="1" width="33.94"/>
    <col collapsed="false" customWidth="false" hidden="false" outlineLevel="0" max="3" min="2" style="1" width="11.53"/>
    <col collapsed="false" customWidth="true" hidden="false" outlineLevel="0" max="4" min="4" style="1" width="12.66"/>
    <col collapsed="false" customWidth="false" hidden="false" outlineLevel="0" max="5" min="5" style="1" width="11.53"/>
    <col collapsed="false" customWidth="true" hidden="false" outlineLevel="0" max="6" min="6" style="1" width="46.46"/>
    <col collapsed="false" customWidth="false" hidden="false" outlineLevel="0" max="9" min="7" style="1" width="11.53"/>
    <col collapsed="false" customWidth="true" hidden="false" outlineLevel="0" max="10" min="10" style="1" width="41.61"/>
    <col collapsed="false" customWidth="false" hidden="false" outlineLevel="0" max="16384" min="11" style="1" width="11.53"/>
  </cols>
  <sheetData>
    <row r="1" customFormat="false" ht="13.8" hidden="false" customHeight="false" outlineLevel="0" collapsed="false">
      <c r="A1" s="2" t="s">
        <v>0</v>
      </c>
      <c r="B1" s="2"/>
      <c r="C1" s="2"/>
      <c r="D1" s="2"/>
    </row>
    <row r="2" customFormat="false" ht="13.8" hidden="false" customHeight="false" outlineLevel="0" collapsed="false">
      <c r="A2" s="3" t="s">
        <v>1</v>
      </c>
      <c r="F2" s="3" t="s">
        <v>2</v>
      </c>
      <c r="J2" s="3" t="s">
        <v>3</v>
      </c>
    </row>
    <row r="3" customFormat="false" ht="13.8" hidden="false" customHeight="false" outlineLevel="0" collapsed="false">
      <c r="A3" s="1" t="s">
        <v>4</v>
      </c>
      <c r="B3" s="4"/>
      <c r="C3" s="4" t="n">
        <v>23598</v>
      </c>
      <c r="F3" s="5" t="s">
        <v>5</v>
      </c>
      <c r="G3" s="6"/>
      <c r="J3" s="5" t="s">
        <v>5</v>
      </c>
    </row>
    <row r="4" customFormat="false" ht="13.8" hidden="false" customHeight="false" outlineLevel="0" collapsed="false">
      <c r="A4" s="1" t="s">
        <v>6</v>
      </c>
      <c r="B4" s="4"/>
      <c r="C4" s="4" t="n">
        <v>11456</v>
      </c>
      <c r="F4" s="1" t="s">
        <v>7</v>
      </c>
      <c r="G4" s="4" t="n">
        <f aca="false">$C$16</f>
        <v>2210</v>
      </c>
      <c r="J4" s="1" t="s">
        <v>8</v>
      </c>
      <c r="K4" s="1" t="n">
        <f aca="false">957+23598-1012</f>
        <v>23543</v>
      </c>
    </row>
    <row r="5" customFormat="false" ht="13.8" hidden="false" customHeight="false" outlineLevel="0" collapsed="false">
      <c r="A5" s="1" t="s">
        <v>9</v>
      </c>
      <c r="B5" s="4"/>
      <c r="C5" s="4" t="n">
        <f aca="false">C3-C4</f>
        <v>12142</v>
      </c>
      <c r="F5" s="1" t="s">
        <v>10</v>
      </c>
      <c r="G5" s="4" t="n">
        <f aca="false">$B$7</f>
        <v>1052</v>
      </c>
      <c r="J5" s="1" t="s">
        <v>11</v>
      </c>
      <c r="K5" s="1" t="n">
        <f aca="false">-(3325+(11456+707)-3588)</f>
        <v>-11900</v>
      </c>
    </row>
    <row r="6" customFormat="false" ht="13.8" hidden="false" customHeight="false" outlineLevel="0" collapsed="false">
      <c r="A6" s="1" t="s">
        <v>12</v>
      </c>
      <c r="B6" s="4" t="n">
        <v>4123</v>
      </c>
      <c r="C6" s="4"/>
      <c r="F6" s="1" t="s">
        <v>13</v>
      </c>
      <c r="G6" s="4" t="n">
        <f aca="false">-$B$12</f>
        <v>-205</v>
      </c>
      <c r="J6" s="1" t="s">
        <v>14</v>
      </c>
      <c r="K6" s="1" t="n">
        <f aca="false">-(4123-10)</f>
        <v>-4113</v>
      </c>
    </row>
    <row r="7" customFormat="false" ht="13.8" hidden="false" customHeight="false" outlineLevel="0" collapsed="false">
      <c r="A7" s="1" t="s">
        <v>15</v>
      </c>
      <c r="B7" s="4" t="n">
        <v>1052</v>
      </c>
      <c r="C7" s="4"/>
      <c r="F7" s="1" t="s">
        <v>16</v>
      </c>
      <c r="G7" s="1" t="n">
        <f aca="false">-$D$22</f>
        <v>-55</v>
      </c>
      <c r="J7" s="1" t="s">
        <v>17</v>
      </c>
      <c r="K7" s="1" t="n">
        <f aca="false">-(3577-22-23)</f>
        <v>-3532</v>
      </c>
    </row>
    <row r="8" customFormat="false" ht="13.8" hidden="false" customHeight="false" outlineLevel="0" collapsed="false">
      <c r="A8" s="1" t="s">
        <v>18</v>
      </c>
      <c r="B8" s="4" t="n">
        <v>3577</v>
      </c>
      <c r="C8" s="4"/>
      <c r="F8" s="1" t="s">
        <v>19</v>
      </c>
      <c r="G8" s="1" t="n">
        <f aca="false">-$D$23</f>
        <v>-707</v>
      </c>
      <c r="J8" s="1" t="s">
        <v>20</v>
      </c>
      <c r="K8" s="1" t="n">
        <f aca="false">-(246+12)</f>
        <v>-258</v>
      </c>
    </row>
    <row r="9" customFormat="false" ht="13.8" hidden="false" customHeight="false" outlineLevel="0" collapsed="false">
      <c r="A9" s="7" t="s">
        <v>21</v>
      </c>
      <c r="B9" s="4"/>
      <c r="C9" s="4" t="n">
        <f aca="false">SUM(B6:B8)</f>
        <v>8752</v>
      </c>
      <c r="F9" s="1" t="s">
        <v>22</v>
      </c>
      <c r="G9" s="1" t="n">
        <f aca="false">-$D$24</f>
        <v>23</v>
      </c>
      <c r="J9" s="1" t="s">
        <v>23</v>
      </c>
      <c r="K9" s="1" t="n">
        <f aca="false">-(1139-5)</f>
        <v>-1134</v>
      </c>
    </row>
    <row r="10" customFormat="false" ht="13.8" hidden="false" customHeight="false" outlineLevel="0" collapsed="false">
      <c r="A10" s="1" t="s">
        <v>24</v>
      </c>
      <c r="B10" s="4"/>
      <c r="C10" s="4" t="n">
        <f aca="false">C5-C9</f>
        <v>3390</v>
      </c>
      <c r="F10" s="1" t="s">
        <v>25</v>
      </c>
      <c r="G10" s="1" t="n">
        <f aca="false">$D$33</f>
        <v>263</v>
      </c>
      <c r="J10" s="8" t="s">
        <v>26</v>
      </c>
      <c r="L10" s="1" t="n">
        <f aca="false">SUM(K4:K9)</f>
        <v>2606</v>
      </c>
    </row>
    <row r="11" customFormat="false" ht="13.8" hidden="false" customHeight="false" outlineLevel="0" collapsed="false">
      <c r="A11" s="1" t="s">
        <v>27</v>
      </c>
      <c r="B11" s="4"/>
      <c r="C11" s="4"/>
      <c r="F11" s="1" t="s">
        <v>28</v>
      </c>
      <c r="G11" s="1" t="n">
        <f aca="false">$D$34</f>
        <v>10</v>
      </c>
    </row>
    <row r="12" customFormat="false" ht="13.8" hidden="false" customHeight="false" outlineLevel="0" collapsed="false">
      <c r="A12" s="7" t="s">
        <v>13</v>
      </c>
      <c r="B12" s="4" t="n">
        <v>205</v>
      </c>
      <c r="C12" s="4"/>
      <c r="F12" s="1" t="s">
        <v>29</v>
      </c>
      <c r="G12" s="1" t="n">
        <f aca="false">$D$35</f>
        <v>-12</v>
      </c>
      <c r="J12" s="5" t="s">
        <v>30</v>
      </c>
    </row>
    <row r="13" customFormat="false" ht="13.8" hidden="false" customHeight="false" outlineLevel="0" collapsed="false">
      <c r="A13" s="7" t="s">
        <v>31</v>
      </c>
      <c r="B13" s="4" t="n">
        <v>-246</v>
      </c>
      <c r="C13" s="4" t="n">
        <f aca="false">SUM(B12,B13)</f>
        <v>-41</v>
      </c>
      <c r="F13" s="1" t="s">
        <v>32</v>
      </c>
      <c r="G13" s="1" t="n">
        <f aca="false">$D$36</f>
        <v>5</v>
      </c>
      <c r="J13" s="1" t="s">
        <v>33</v>
      </c>
      <c r="K13" s="1" t="n">
        <f aca="false">G33</f>
        <v>762</v>
      </c>
    </row>
    <row r="14" customFormat="false" ht="13.8" hidden="false" customHeight="false" outlineLevel="0" collapsed="false">
      <c r="A14" s="1" t="s">
        <v>34</v>
      </c>
      <c r="B14" s="4"/>
      <c r="C14" s="4" t="n">
        <f aca="false">SUM(C10,C13)</f>
        <v>3349</v>
      </c>
      <c r="F14" s="1" t="s">
        <v>35</v>
      </c>
      <c r="G14" s="1" t="n">
        <f aca="false">$D$37</f>
        <v>22</v>
      </c>
      <c r="J14" s="1" t="s">
        <v>36</v>
      </c>
      <c r="K14" s="1" t="n">
        <v>-1300</v>
      </c>
    </row>
    <row r="15" customFormat="false" ht="13.8" hidden="false" customHeight="false" outlineLevel="0" collapsed="false">
      <c r="A15" s="1" t="s">
        <v>37</v>
      </c>
      <c r="B15" s="4"/>
      <c r="C15" s="4" t="n">
        <v>1139</v>
      </c>
      <c r="F15" s="8" t="s">
        <v>26</v>
      </c>
      <c r="G15" s="6"/>
      <c r="H15" s="1" t="n">
        <f aca="false">SUM(G4:G14)</f>
        <v>2606</v>
      </c>
      <c r="J15" s="8" t="s">
        <v>38</v>
      </c>
      <c r="L15" s="1" t="n">
        <f aca="false">SUM(K13:K14)</f>
        <v>-538</v>
      </c>
    </row>
    <row r="16" customFormat="false" ht="13.8" hidden="false" customHeight="false" outlineLevel="0" collapsed="false">
      <c r="A16" s="1" t="s">
        <v>7</v>
      </c>
      <c r="B16" s="4"/>
      <c r="C16" s="4" t="n">
        <f aca="false">C14-C15</f>
        <v>2210</v>
      </c>
    </row>
    <row r="17" customFormat="false" ht="13.8" hidden="false" customHeight="false" outlineLevel="0" collapsed="false">
      <c r="F17" s="5" t="s">
        <v>30</v>
      </c>
      <c r="J17" s="5" t="s">
        <v>39</v>
      </c>
    </row>
    <row r="18" customFormat="false" ht="13.8" hidden="false" customHeight="false" outlineLevel="0" collapsed="false">
      <c r="F18" s="1" t="s">
        <v>33</v>
      </c>
      <c r="G18" s="1" t="n">
        <f aca="false">$G$33</f>
        <v>762</v>
      </c>
      <c r="J18" s="1" t="s">
        <v>40</v>
      </c>
      <c r="K18" s="1" t="n">
        <f aca="false">-(2876+2210-3966)</f>
        <v>-1120</v>
      </c>
    </row>
    <row r="19" customFormat="false" ht="13.8" hidden="false" customHeight="false" outlineLevel="0" collapsed="false">
      <c r="A19" s="3" t="s">
        <v>41</v>
      </c>
      <c r="F19" s="1" t="s">
        <v>36</v>
      </c>
      <c r="G19" s="1" t="n">
        <v>-1300</v>
      </c>
      <c r="J19" s="1" t="s">
        <v>42</v>
      </c>
      <c r="K19" s="1" t="n">
        <f aca="false">$D$40</f>
        <v>-600</v>
      </c>
    </row>
    <row r="20" customFormat="false" ht="13.8" hidden="false" customHeight="false" outlineLevel="0" collapsed="false">
      <c r="B20" s="9" t="n">
        <v>2018</v>
      </c>
      <c r="C20" s="9" t="n">
        <v>2017</v>
      </c>
      <c r="D20" s="9" t="s">
        <v>43</v>
      </c>
      <c r="F20" s="8" t="s">
        <v>38</v>
      </c>
      <c r="H20" s="1" t="n">
        <f aca="false">SUM(G18:G19)</f>
        <v>-538</v>
      </c>
      <c r="J20" s="1" t="s">
        <v>44</v>
      </c>
      <c r="K20" s="1" t="n">
        <f aca="false">$D$39</f>
        <v>-500</v>
      </c>
    </row>
    <row r="21" customFormat="false" ht="13.8" hidden="false" customHeight="false" outlineLevel="0" collapsed="false">
      <c r="A21" s="1" t="s">
        <v>45</v>
      </c>
      <c r="B21" s="10" t="n">
        <v>1011</v>
      </c>
      <c r="C21" s="10" t="n">
        <v>1163</v>
      </c>
      <c r="D21" s="10" t="n">
        <f aca="false">B21-C21</f>
        <v>-152</v>
      </c>
      <c r="J21" s="8" t="s">
        <v>46</v>
      </c>
      <c r="L21" s="1" t="n">
        <f aca="false">SUM(K18:K20)</f>
        <v>-2220</v>
      </c>
    </row>
    <row r="22" customFormat="false" ht="13.8" hidden="false" customHeight="false" outlineLevel="0" collapsed="false">
      <c r="A22" s="1" t="s">
        <v>47</v>
      </c>
      <c r="B22" s="10" t="n">
        <v>1012</v>
      </c>
      <c r="C22" s="10" t="n">
        <v>957</v>
      </c>
      <c r="D22" s="10" t="n">
        <f aca="false">B22-C22</f>
        <v>55</v>
      </c>
      <c r="F22" s="5" t="s">
        <v>39</v>
      </c>
    </row>
    <row r="23" customFormat="false" ht="13.8" hidden="false" customHeight="false" outlineLevel="0" collapsed="false">
      <c r="A23" s="1" t="s">
        <v>48</v>
      </c>
      <c r="B23" s="10" t="n">
        <v>3984</v>
      </c>
      <c r="C23" s="10" t="n">
        <v>3277</v>
      </c>
      <c r="D23" s="10" t="n">
        <f aca="false">B23-C23</f>
        <v>707</v>
      </c>
      <c r="F23" s="1" t="s">
        <v>40</v>
      </c>
      <c r="G23" s="1" t="n">
        <f aca="false">-(2876+2210-3966)</f>
        <v>-1120</v>
      </c>
      <c r="J23" s="1" t="s">
        <v>49</v>
      </c>
      <c r="L23" s="1" t="n">
        <f aca="false">SUM(L10,L15,L21)</f>
        <v>-152</v>
      </c>
    </row>
    <row r="24" customFormat="false" ht="13.8" hidden="false" customHeight="false" outlineLevel="0" collapsed="false">
      <c r="A24" s="1" t="s">
        <v>50</v>
      </c>
      <c r="B24" s="10" t="n">
        <v>155</v>
      </c>
      <c r="C24" s="10" t="n">
        <v>178</v>
      </c>
      <c r="D24" s="10" t="n">
        <f aca="false">B24-C24</f>
        <v>-23</v>
      </c>
      <c r="F24" s="1" t="s">
        <v>42</v>
      </c>
      <c r="G24" s="1" t="n">
        <f aca="false">$D$40</f>
        <v>-600</v>
      </c>
    </row>
    <row r="25" customFormat="false" ht="13.8" hidden="false" customHeight="false" outlineLevel="0" collapsed="false">
      <c r="A25" s="7" t="s">
        <v>51</v>
      </c>
      <c r="B25" s="10" t="n">
        <f aca="false">SUM(B21:B24)</f>
        <v>6162</v>
      </c>
      <c r="C25" s="10" t="n">
        <f aca="false">SUM(C21:C24)</f>
        <v>5575</v>
      </c>
      <c r="D25" s="10" t="n">
        <f aca="false">B25-C25</f>
        <v>587</v>
      </c>
      <c r="F25" s="1" t="s">
        <v>44</v>
      </c>
      <c r="G25" s="1" t="n">
        <f aca="false">$D$39</f>
        <v>-500</v>
      </c>
    </row>
    <row r="26" customFormat="false" ht="13.8" hidden="false" customHeight="false" outlineLevel="0" collapsed="false">
      <c r="A26" s="1" t="s">
        <v>52</v>
      </c>
      <c r="B26" s="10" t="n">
        <v>510</v>
      </c>
      <c r="C26" s="10" t="n">
        <v>510</v>
      </c>
      <c r="D26" s="10" t="n">
        <f aca="false">B26-C26</f>
        <v>0</v>
      </c>
      <c r="F26" s="8" t="s">
        <v>46</v>
      </c>
      <c r="H26" s="1" t="n">
        <f aca="false">SUM(G23:G25)</f>
        <v>-2220</v>
      </c>
      <c r="J26" s="3" t="s">
        <v>53</v>
      </c>
    </row>
    <row r="27" customFormat="false" ht="13.8" hidden="false" customHeight="false" outlineLevel="0" collapsed="false">
      <c r="A27" s="1" t="s">
        <v>54</v>
      </c>
      <c r="B27" s="10" t="n">
        <v>3680</v>
      </c>
      <c r="C27" s="10" t="n">
        <v>3680</v>
      </c>
      <c r="D27" s="10" t="n">
        <f aca="false">B27-C27</f>
        <v>0</v>
      </c>
      <c r="J27" s="11" t="s">
        <v>55</v>
      </c>
    </row>
    <row r="28" customFormat="false" ht="13.8" hidden="false" customHeight="false" outlineLevel="0" collapsed="false">
      <c r="A28" s="1" t="s">
        <v>56</v>
      </c>
      <c r="B28" s="10" t="n">
        <v>8798</v>
      </c>
      <c r="C28" s="10" t="n">
        <v>8555</v>
      </c>
      <c r="D28" s="10" t="n">
        <f aca="false">B28-C28</f>
        <v>243</v>
      </c>
      <c r="F28" s="1" t="s">
        <v>49</v>
      </c>
      <c r="G28" s="6"/>
      <c r="H28" s="1" t="n">
        <f aca="false">SUM(H15,H20,H26)</f>
        <v>-152</v>
      </c>
      <c r="J28" s="1" t="s">
        <v>8</v>
      </c>
      <c r="K28" s="1" t="n">
        <f aca="false">K4</f>
        <v>23543</v>
      </c>
      <c r="L28" s="12" t="n">
        <f aca="false">K28/K30</f>
        <v>0.968648426249743</v>
      </c>
    </row>
    <row r="29" customFormat="false" ht="13.8" hidden="false" customHeight="false" outlineLevel="0" collapsed="false">
      <c r="A29" s="1" t="s">
        <v>57</v>
      </c>
      <c r="B29" s="10" t="n">
        <v>-3443</v>
      </c>
      <c r="C29" s="10" t="n">
        <v>-2891</v>
      </c>
      <c r="D29" s="10" t="n">
        <f aca="false">B29-C29</f>
        <v>-552</v>
      </c>
      <c r="J29" s="1" t="s">
        <v>58</v>
      </c>
      <c r="K29" s="1" t="n">
        <f aca="false">K13</f>
        <v>762</v>
      </c>
      <c r="L29" s="12" t="n">
        <f aca="false">K29/K30</f>
        <v>0.0313515737502572</v>
      </c>
    </row>
    <row r="30" customFormat="false" ht="13.8" hidden="false" customHeight="false" outlineLevel="0" collapsed="false">
      <c r="A30" s="7" t="s">
        <v>59</v>
      </c>
      <c r="B30" s="10" t="n">
        <f aca="false">SUM(B26:B29)</f>
        <v>9545</v>
      </c>
      <c r="C30" s="10" t="n">
        <f aca="false">SUM(C26:C29)</f>
        <v>9854</v>
      </c>
      <c r="D30" s="10" t="n">
        <f aca="false">B30-C30</f>
        <v>-309</v>
      </c>
      <c r="F30" s="13"/>
      <c r="G30" s="13"/>
      <c r="H30" s="13"/>
      <c r="J30" s="1" t="s">
        <v>60</v>
      </c>
      <c r="K30" s="1" t="n">
        <f aca="false">SUM(K28:K29)</f>
        <v>24305</v>
      </c>
      <c r="L30" s="12" t="n">
        <f aca="false">K30/K30</f>
        <v>1</v>
      </c>
    </row>
    <row r="31" customFormat="false" ht="13.8" hidden="false" customHeight="false" outlineLevel="0" collapsed="false">
      <c r="A31" s="3" t="s">
        <v>61</v>
      </c>
      <c r="B31" s="14" t="n">
        <f aca="false">B25+B30</f>
        <v>15707</v>
      </c>
      <c r="C31" s="14" t="n">
        <f aca="false">C25+C30</f>
        <v>15429</v>
      </c>
      <c r="D31" s="14" t="n">
        <f aca="false">B31-C31</f>
        <v>278</v>
      </c>
      <c r="F31" s="1" t="s">
        <v>62</v>
      </c>
      <c r="G31" s="1" t="n">
        <f aca="false">8555+1300-8798</f>
        <v>1057</v>
      </c>
    </row>
    <row r="32" customFormat="false" ht="13.8" hidden="false" customHeight="false" outlineLevel="0" collapsed="false">
      <c r="B32" s="10"/>
      <c r="C32" s="10"/>
      <c r="D32" s="15"/>
      <c r="F32" s="1" t="s">
        <v>63</v>
      </c>
      <c r="G32" s="1" t="n">
        <f aca="false">2891+1052-3443</f>
        <v>500</v>
      </c>
      <c r="J32" s="11" t="s">
        <v>64</v>
      </c>
    </row>
    <row r="33" customFormat="false" ht="13.8" hidden="false" customHeight="false" outlineLevel="0" collapsed="false">
      <c r="A33" s="1" t="s">
        <v>65</v>
      </c>
      <c r="B33" s="10" t="n">
        <v>3588</v>
      </c>
      <c r="C33" s="10" t="n">
        <v>3325</v>
      </c>
      <c r="D33" s="10" t="n">
        <f aca="false">B33-C33</f>
        <v>263</v>
      </c>
      <c r="F33" s="1" t="s">
        <v>66</v>
      </c>
      <c r="G33" s="1" t="n">
        <f aca="false">1057+205-500</f>
        <v>762</v>
      </c>
      <c r="J33" s="1" t="s">
        <v>11</v>
      </c>
      <c r="K33" s="1" t="n">
        <f aca="false">-K5</f>
        <v>11900</v>
      </c>
      <c r="L33" s="12" t="n">
        <f aca="false">K33/$K$42</f>
        <v>0.486568262665086</v>
      </c>
    </row>
    <row r="34" customFormat="false" ht="13.8" hidden="false" customHeight="false" outlineLevel="0" collapsed="false">
      <c r="A34" s="1" t="s">
        <v>67</v>
      </c>
      <c r="B34" s="10" t="n">
        <v>85</v>
      </c>
      <c r="C34" s="10" t="n">
        <v>75</v>
      </c>
      <c r="D34" s="10" t="n">
        <f aca="false">B34-C34</f>
        <v>10</v>
      </c>
      <c r="J34" s="1" t="s">
        <v>14</v>
      </c>
      <c r="K34" s="1" t="n">
        <f aca="false">-K6</f>
        <v>4113</v>
      </c>
      <c r="L34" s="12" t="n">
        <f aca="false">K34/$K$42</f>
        <v>0.168172711289201</v>
      </c>
    </row>
    <row r="35" customFormat="false" ht="13.8" hidden="false" customHeight="false" outlineLevel="0" collapsed="false">
      <c r="A35" s="1" t="s">
        <v>68</v>
      </c>
      <c r="B35" s="10" t="n">
        <v>62</v>
      </c>
      <c r="C35" s="10" t="n">
        <v>74</v>
      </c>
      <c r="D35" s="10" t="n">
        <f aca="false">B35-C35</f>
        <v>-12</v>
      </c>
      <c r="J35" s="1" t="s">
        <v>17</v>
      </c>
      <c r="K35" s="1" t="n">
        <f aca="false">-K7</f>
        <v>3532</v>
      </c>
      <c r="L35" s="12" t="n">
        <f aca="false">K35/$K$42</f>
        <v>0.144416731406141</v>
      </c>
    </row>
    <row r="36" customFormat="false" ht="13.8" hidden="false" customHeight="false" outlineLevel="0" collapsed="false">
      <c r="A36" s="1" t="s">
        <v>69</v>
      </c>
      <c r="B36" s="10" t="n">
        <v>55</v>
      </c>
      <c r="C36" s="10" t="n">
        <v>50</v>
      </c>
      <c r="D36" s="10" t="n">
        <f aca="false">B36-C36</f>
        <v>5</v>
      </c>
      <c r="F36" s="3" t="s">
        <v>70</v>
      </c>
      <c r="J36" s="1" t="s">
        <v>20</v>
      </c>
      <c r="K36" s="1" t="n">
        <f aca="false">-K8</f>
        <v>258</v>
      </c>
      <c r="L36" s="12" t="n">
        <f aca="false">K36/$K$42</f>
        <v>0.0105491270392935</v>
      </c>
    </row>
    <row r="37" customFormat="false" ht="13.8" hidden="false" customHeight="false" outlineLevel="0" collapsed="false">
      <c r="A37" s="1" t="s">
        <v>71</v>
      </c>
      <c r="B37" s="10" t="n">
        <v>1126</v>
      </c>
      <c r="C37" s="10" t="n">
        <v>1104</v>
      </c>
      <c r="D37" s="10" t="n">
        <f aca="false">B37-C37</f>
        <v>22</v>
      </c>
      <c r="F37" s="16" t="s">
        <v>55</v>
      </c>
      <c r="G37" s="0"/>
      <c r="J37" s="1" t="s">
        <v>23</v>
      </c>
      <c r="K37" s="1" t="n">
        <f aca="false">-K9</f>
        <v>1134</v>
      </c>
      <c r="L37" s="12" t="n">
        <f aca="false">K37/$K$42</f>
        <v>0.0463670932657317</v>
      </c>
    </row>
    <row r="38" customFormat="false" ht="13.8" hidden="false" customHeight="false" outlineLevel="0" collapsed="false">
      <c r="A38" s="7" t="s">
        <v>72</v>
      </c>
      <c r="B38" s="10" t="n">
        <f aca="false">SUM(B33:B37)</f>
        <v>4916</v>
      </c>
      <c r="C38" s="10" t="n">
        <f aca="false">SUM(C33:C37)</f>
        <v>4628</v>
      </c>
      <c r="D38" s="10" t="n">
        <f aca="false">B38-C38</f>
        <v>288</v>
      </c>
      <c r="F38" s="1" t="s">
        <v>26</v>
      </c>
      <c r="G38" s="1" t="n">
        <f aca="false">H15</f>
        <v>2606</v>
      </c>
      <c r="H38" s="12" t="n">
        <f aca="false">G38/$G$40</f>
        <v>0.77375296912114</v>
      </c>
      <c r="J38" s="1" t="s">
        <v>36</v>
      </c>
      <c r="K38" s="1" t="n">
        <f aca="false">-K14</f>
        <v>1300</v>
      </c>
      <c r="L38" s="12" t="n">
        <f aca="false">K38/$K$42</f>
        <v>0.0531545160894631</v>
      </c>
    </row>
    <row r="39" customFormat="false" ht="13.8" hidden="false" customHeight="false" outlineLevel="0" collapsed="false">
      <c r="A39" s="1" t="s">
        <v>73</v>
      </c>
      <c r="B39" s="10" t="n">
        <v>3075</v>
      </c>
      <c r="C39" s="10" t="n">
        <v>3575</v>
      </c>
      <c r="D39" s="10" t="n">
        <f aca="false">B39-C39</f>
        <v>-500</v>
      </c>
      <c r="F39" s="1" t="s">
        <v>58</v>
      </c>
      <c r="G39" s="1" t="n">
        <f aca="false">G18</f>
        <v>762</v>
      </c>
      <c r="H39" s="12" t="n">
        <f aca="false">G39/$G$40</f>
        <v>0.22624703087886</v>
      </c>
      <c r="J39" s="1" t="s">
        <v>40</v>
      </c>
      <c r="K39" s="1" t="n">
        <f aca="false">-K18</f>
        <v>1120</v>
      </c>
      <c r="L39" s="12" t="n">
        <f aca="false">K39/$K$42</f>
        <v>0.0457946600155375</v>
      </c>
    </row>
    <row r="40" customFormat="false" ht="13.8" hidden="false" customHeight="false" outlineLevel="0" collapsed="false">
      <c r="A40" s="1" t="s">
        <v>74</v>
      </c>
      <c r="B40" s="10" t="n">
        <v>3750</v>
      </c>
      <c r="C40" s="10" t="n">
        <v>4350</v>
      </c>
      <c r="D40" s="10" t="n">
        <f aca="false">B40-C40</f>
        <v>-600</v>
      </c>
      <c r="F40" s="1" t="s">
        <v>60</v>
      </c>
      <c r="G40" s="1" t="n">
        <f aca="false">SUM(G38:G39)</f>
        <v>3368</v>
      </c>
      <c r="H40" s="12" t="n">
        <f aca="false">G40/$G$40</f>
        <v>1</v>
      </c>
      <c r="J40" s="1" t="s">
        <v>42</v>
      </c>
      <c r="K40" s="1" t="n">
        <f aca="false">-K19</f>
        <v>600</v>
      </c>
      <c r="L40" s="12" t="n">
        <f aca="false">K40/$K$42</f>
        <v>0.0245328535797522</v>
      </c>
    </row>
    <row r="41" customFormat="false" ht="13.8" hidden="false" customHeight="false" outlineLevel="0" collapsed="false">
      <c r="A41" s="1" t="s">
        <v>75</v>
      </c>
      <c r="B41" s="10" t="n">
        <v>3966</v>
      </c>
      <c r="C41" s="10" t="n">
        <v>2876</v>
      </c>
      <c r="D41" s="10" t="n">
        <f aca="false">B41-C41</f>
        <v>1090</v>
      </c>
      <c r="J41" s="1" t="s">
        <v>44</v>
      </c>
      <c r="K41" s="1" t="n">
        <f aca="false">-K20</f>
        <v>500</v>
      </c>
      <c r="L41" s="12" t="n">
        <f aca="false">K41/$K$42</f>
        <v>0.0204440446497935</v>
      </c>
    </row>
    <row r="42" customFormat="false" ht="13.8" hidden="false" customHeight="false" outlineLevel="0" collapsed="false">
      <c r="A42" s="3" t="s">
        <v>76</v>
      </c>
      <c r="B42" s="14" t="n">
        <f aca="false">SUM(B38:B41)</f>
        <v>15707</v>
      </c>
      <c r="C42" s="14" t="n">
        <f aca="false">SUM(C38:C41)</f>
        <v>15429</v>
      </c>
      <c r="D42" s="14" t="n">
        <f aca="false">B42-C42</f>
        <v>278</v>
      </c>
      <c r="F42" s="11" t="s">
        <v>64</v>
      </c>
      <c r="J42" s="1" t="s">
        <v>60</v>
      </c>
      <c r="K42" s="1" t="n">
        <f aca="false">SUM(K33:K41)</f>
        <v>24457</v>
      </c>
      <c r="L42" s="12" t="n">
        <f aca="false">K42/$K$42</f>
        <v>1</v>
      </c>
    </row>
    <row r="43" customFormat="false" ht="13.8" hidden="false" customHeight="false" outlineLevel="0" collapsed="false">
      <c r="F43" s="17" t="s">
        <v>36</v>
      </c>
      <c r="G43" s="1" t="n">
        <f aca="false">-G19</f>
        <v>1300</v>
      </c>
      <c r="H43" s="12" t="n">
        <f aca="false">G43/$G$47</f>
        <v>0.369318181818182</v>
      </c>
    </row>
    <row r="44" customFormat="false" ht="13.8" hidden="false" customHeight="false" outlineLevel="0" collapsed="false">
      <c r="F44" s="1" t="s">
        <v>40</v>
      </c>
      <c r="G44" s="1" t="n">
        <f aca="false">-G23</f>
        <v>1120</v>
      </c>
      <c r="H44" s="12" t="n">
        <f aca="false">G44/$G$47</f>
        <v>0.318181818181818</v>
      </c>
      <c r="J44" s="1" t="s">
        <v>77</v>
      </c>
      <c r="K44" s="1" t="n">
        <f aca="false">K30-K42</f>
        <v>-152</v>
      </c>
    </row>
    <row r="45" customFormat="false" ht="13.8" hidden="false" customHeight="false" outlineLevel="0" collapsed="false">
      <c r="F45" s="1" t="s">
        <v>42</v>
      </c>
      <c r="G45" s="1" t="n">
        <f aca="false">-G24</f>
        <v>600</v>
      </c>
      <c r="H45" s="12" t="n">
        <f aca="false">G45/$G$47</f>
        <v>0.170454545454545</v>
      </c>
    </row>
    <row r="46" customFormat="false" ht="13.8" hidden="false" customHeight="false" outlineLevel="0" collapsed="false">
      <c r="F46" s="1" t="s">
        <v>44</v>
      </c>
      <c r="G46" s="1" t="n">
        <f aca="false">-G25</f>
        <v>500</v>
      </c>
      <c r="H46" s="12" t="n">
        <f aca="false">G46/$G$47</f>
        <v>0.142045454545455</v>
      </c>
    </row>
    <row r="47" customFormat="false" ht="13.8" hidden="false" customHeight="false" outlineLevel="0" collapsed="false">
      <c r="F47" s="17" t="s">
        <v>60</v>
      </c>
      <c r="G47" s="1" t="n">
        <f aca="false">SUM(G43:G46)</f>
        <v>3520</v>
      </c>
      <c r="H47" s="12" t="n">
        <f aca="false">G47/$G$47</f>
        <v>1</v>
      </c>
    </row>
    <row r="48" customFormat="false" ht="13.8" hidden="false" customHeight="false" outlineLevel="0" collapsed="false">
      <c r="F48" s="17"/>
    </row>
    <row r="49" customFormat="false" ht="13.8" hidden="false" customHeight="false" outlineLevel="0" collapsed="false">
      <c r="F49" s="17" t="s">
        <v>77</v>
      </c>
      <c r="G49" s="1" t="n">
        <f aca="false">G40-G47</f>
        <v>-152</v>
      </c>
    </row>
    <row r="50" customFormat="false" ht="13.8" hidden="false" customHeight="false" outlineLevel="0" collapsed="false">
      <c r="F50" s="17"/>
    </row>
    <row r="51" customFormat="false" ht="13.8" hidden="false" customHeight="false" outlineLevel="0" collapsed="false">
      <c r="F51" s="17"/>
    </row>
    <row r="52" customFormat="false" ht="13.8" hidden="false" customHeight="false" outlineLevel="0" collapsed="false">
      <c r="F52" s="18" t="s">
        <v>78</v>
      </c>
    </row>
    <row r="53" customFormat="false" ht="13.8" hidden="false" customHeight="false" outlineLevel="0" collapsed="false">
      <c r="F53" s="0"/>
      <c r="G53" s="0"/>
      <c r="H53" s="1" t="s">
        <v>79</v>
      </c>
    </row>
    <row r="54" customFormat="false" ht="13.8" hidden="false" customHeight="false" outlineLevel="0" collapsed="false">
      <c r="F54" s="5" t="s">
        <v>5</v>
      </c>
      <c r="G54" s="6"/>
    </row>
    <row r="55" customFormat="false" ht="13.8" hidden="false" customHeight="false" outlineLevel="0" collapsed="false">
      <c r="F55" s="1" t="s">
        <v>7</v>
      </c>
      <c r="G55" s="4" t="n">
        <f aca="false">$C$16</f>
        <v>2210</v>
      </c>
      <c r="H55" s="12" t="n">
        <f aca="false">G55/$C$3</f>
        <v>0.0936520044071532</v>
      </c>
    </row>
    <row r="56" customFormat="false" ht="13.8" hidden="false" customHeight="false" outlineLevel="0" collapsed="false">
      <c r="F56" s="1" t="s">
        <v>10</v>
      </c>
      <c r="G56" s="4" t="n">
        <f aca="false">$B$7</f>
        <v>1052</v>
      </c>
      <c r="H56" s="12" t="n">
        <f aca="false">G56/$C$3</f>
        <v>0.0445800491567082</v>
      </c>
    </row>
    <row r="57" customFormat="false" ht="13.8" hidden="false" customHeight="false" outlineLevel="0" collapsed="false">
      <c r="F57" s="1" t="s">
        <v>13</v>
      </c>
      <c r="G57" s="4" t="n">
        <f aca="false">-$B$12</f>
        <v>-205</v>
      </c>
      <c r="H57" s="12" t="n">
        <f aca="false">G57/$C$3</f>
        <v>-0.00868717687939656</v>
      </c>
    </row>
    <row r="58" customFormat="false" ht="13.8" hidden="false" customHeight="false" outlineLevel="0" collapsed="false">
      <c r="F58" s="1" t="s">
        <v>16</v>
      </c>
      <c r="G58" s="1" t="n">
        <f aca="false">-$D$22</f>
        <v>-55</v>
      </c>
      <c r="H58" s="12" t="n">
        <f aca="false">G58/$C$3</f>
        <v>-0.00233070599203322</v>
      </c>
    </row>
    <row r="59" customFormat="false" ht="13.8" hidden="false" customHeight="false" outlineLevel="0" collapsed="false">
      <c r="F59" s="1" t="s">
        <v>19</v>
      </c>
      <c r="G59" s="1" t="n">
        <f aca="false">-$D$23</f>
        <v>-707</v>
      </c>
      <c r="H59" s="12" t="n">
        <f aca="false">G59/$C$3</f>
        <v>-0.0299601661157725</v>
      </c>
    </row>
    <row r="60" customFormat="false" ht="13.8" hidden="false" customHeight="false" outlineLevel="0" collapsed="false">
      <c r="F60" s="1" t="s">
        <v>22</v>
      </c>
      <c r="G60" s="1" t="n">
        <f aca="false">-$D$24</f>
        <v>23</v>
      </c>
      <c r="H60" s="12" t="n">
        <f aca="false">G60/$C$3</f>
        <v>0.000974658869395711</v>
      </c>
    </row>
    <row r="61" customFormat="false" ht="13.8" hidden="false" customHeight="false" outlineLevel="0" collapsed="false">
      <c r="F61" s="1" t="s">
        <v>25</v>
      </c>
      <c r="G61" s="1" t="n">
        <f aca="false">$D$33</f>
        <v>263</v>
      </c>
      <c r="H61" s="12" t="n">
        <f aca="false">G61/$C$3</f>
        <v>0.0111450122891771</v>
      </c>
    </row>
    <row r="62" customFormat="false" ht="13.8" hidden="false" customHeight="false" outlineLevel="0" collapsed="false">
      <c r="F62" s="1" t="s">
        <v>28</v>
      </c>
      <c r="G62" s="1" t="n">
        <f aca="false">$D$34</f>
        <v>10</v>
      </c>
      <c r="H62" s="12" t="n">
        <f aca="false">G62/$C$3</f>
        <v>0.000423764725824222</v>
      </c>
    </row>
    <row r="63" customFormat="false" ht="13.8" hidden="false" customHeight="false" outlineLevel="0" collapsed="false">
      <c r="F63" s="1" t="s">
        <v>29</v>
      </c>
      <c r="G63" s="1" t="n">
        <f aca="false">$D$35</f>
        <v>-12</v>
      </c>
      <c r="H63" s="12" t="n">
        <f aca="false">G63/$C$3</f>
        <v>-0.000508517670989067</v>
      </c>
    </row>
    <row r="64" customFormat="false" ht="13.8" hidden="false" customHeight="false" outlineLevel="0" collapsed="false">
      <c r="F64" s="1" t="s">
        <v>32</v>
      </c>
      <c r="G64" s="1" t="n">
        <f aca="false">$D$36</f>
        <v>5</v>
      </c>
      <c r="H64" s="12" t="n">
        <f aca="false">G64/$C$3</f>
        <v>0.000211882362912111</v>
      </c>
    </row>
    <row r="65" customFormat="false" ht="13.8" hidden="false" customHeight="false" outlineLevel="0" collapsed="false">
      <c r="F65" s="1" t="s">
        <v>35</v>
      </c>
      <c r="G65" s="1" t="n">
        <f aca="false">$D$37</f>
        <v>22</v>
      </c>
      <c r="H65" s="12" t="n">
        <f aca="false">G65/$C$3</f>
        <v>0.000932282396813289</v>
      </c>
    </row>
    <row r="66" customFormat="false" ht="13.8" hidden="false" customHeight="false" outlineLevel="0" collapsed="false">
      <c r="F66" s="19" t="s">
        <v>26</v>
      </c>
      <c r="G66" s="20" t="n">
        <f aca="false">SUM(G55:G65)</f>
        <v>2606</v>
      </c>
      <c r="H66" s="12" t="n">
        <f aca="false">G66/$C$3</f>
        <v>0.110433087549792</v>
      </c>
    </row>
    <row r="67" customFormat="false" ht="13.8" hidden="false" customHeight="false" outlineLevel="0" collapsed="false">
      <c r="H67" s="12"/>
    </row>
    <row r="68" customFormat="false" ht="13.8" hidden="false" customHeight="false" outlineLevel="0" collapsed="false">
      <c r="F68" s="5" t="s">
        <v>30</v>
      </c>
      <c r="H68" s="12"/>
    </row>
    <row r="69" customFormat="false" ht="13.8" hidden="false" customHeight="false" outlineLevel="0" collapsed="false">
      <c r="F69" s="1" t="s">
        <v>33</v>
      </c>
      <c r="G69" s="1" t="n">
        <f aca="false">$G$33</f>
        <v>762</v>
      </c>
      <c r="H69" s="12" t="n">
        <f aca="false">G69/$C$3</f>
        <v>0.0322908721078058</v>
      </c>
    </row>
    <row r="70" customFormat="false" ht="13.8" hidden="false" customHeight="false" outlineLevel="0" collapsed="false">
      <c r="F70" s="1" t="s">
        <v>36</v>
      </c>
      <c r="G70" s="1" t="n">
        <v>-1300</v>
      </c>
      <c r="H70" s="12" t="n">
        <f aca="false">G70/$C$3</f>
        <v>-0.0550894143571489</v>
      </c>
    </row>
    <row r="71" customFormat="false" ht="13.8" hidden="false" customHeight="false" outlineLevel="0" collapsed="false">
      <c r="F71" s="19" t="s">
        <v>38</v>
      </c>
      <c r="G71" s="1" t="n">
        <f aca="false">SUM(G69:G70)</f>
        <v>-538</v>
      </c>
      <c r="H71" s="12" t="n">
        <f aca="false">G71/$C$3</f>
        <v>-0.0227985422493432</v>
      </c>
    </row>
    <row r="72" customFormat="false" ht="13.8" hidden="false" customHeight="false" outlineLevel="0" collapsed="false">
      <c r="H72" s="12"/>
    </row>
    <row r="73" customFormat="false" ht="13.8" hidden="false" customHeight="false" outlineLevel="0" collapsed="false">
      <c r="F73" s="5" t="s">
        <v>39</v>
      </c>
      <c r="H73" s="12"/>
    </row>
    <row r="74" customFormat="false" ht="13.8" hidden="false" customHeight="false" outlineLevel="0" collapsed="false">
      <c r="F74" s="1" t="s">
        <v>40</v>
      </c>
      <c r="G74" s="1" t="n">
        <f aca="false">-(2876+2210-3966)</f>
        <v>-1120</v>
      </c>
      <c r="H74" s="12" t="n">
        <f aca="false">G74/$C$3</f>
        <v>-0.0474616492923129</v>
      </c>
    </row>
    <row r="75" customFormat="false" ht="13.8" hidden="false" customHeight="false" outlineLevel="0" collapsed="false">
      <c r="F75" s="1" t="s">
        <v>42</v>
      </c>
      <c r="G75" s="1" t="n">
        <f aca="false">$D$40</f>
        <v>-600</v>
      </c>
      <c r="H75" s="12" t="n">
        <f aca="false">G75/$C$3</f>
        <v>-0.0254258835494533</v>
      </c>
    </row>
    <row r="76" customFormat="false" ht="13.8" hidden="false" customHeight="false" outlineLevel="0" collapsed="false">
      <c r="F76" s="1" t="s">
        <v>44</v>
      </c>
      <c r="G76" s="1" t="n">
        <f aca="false">$D$39</f>
        <v>-500</v>
      </c>
      <c r="H76" s="12" t="n">
        <f aca="false">G76/$C$3</f>
        <v>-0.0211882362912111</v>
      </c>
    </row>
    <row r="77" customFormat="false" ht="13.8" hidden="false" customHeight="false" outlineLevel="0" collapsed="false">
      <c r="F77" s="19" t="s">
        <v>46</v>
      </c>
      <c r="G77" s="1" t="n">
        <f aca="false">SUM(G74:G76)</f>
        <v>-2220</v>
      </c>
      <c r="H77" s="12" t="n">
        <f aca="false">G77/$C$3</f>
        <v>-0.0940757691329774</v>
      </c>
    </row>
    <row r="78" customFormat="false" ht="13.8" hidden="false" customHeight="false" outlineLevel="0" collapsed="false">
      <c r="H78" s="12"/>
    </row>
    <row r="79" customFormat="false" ht="13.8" hidden="false" customHeight="false" outlineLevel="0" collapsed="false">
      <c r="F79" s="3" t="s">
        <v>77</v>
      </c>
      <c r="G79" s="1" t="n">
        <f aca="false">SUM(G66,G71,G77)</f>
        <v>-152</v>
      </c>
      <c r="H79" s="12" t="n">
        <f aca="false">G79/$C$3</f>
        <v>-0.00644122383252818</v>
      </c>
    </row>
  </sheetData>
  <mergeCells count="1">
    <mergeCell ref="A1:D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</TotalTime>
  <Application>LibreOffice/24.2.3.2$Linux_X86_64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2025-06-27T13:39:56Z</dcterms:created>
  <dc:creator/>
  <dc:description/>
  <dc:language>en-US</dc:language>
  <cp:lastModifiedBy/>
  <dcterms:modified xsi:type="dcterms:W3CDTF">2025-06-28T21:03:10Z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