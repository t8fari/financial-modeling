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C:\Users\x\Desktop\Corporate Finance\"/>
    </mc:Choice>
  </mc:AlternateContent>
  <xr:revisionPtr revIDLastSave="0" documentId="13_ncr:1_{057EAA72-4102-40F2-BE14-9DEF194EC5AA}" xr6:coauthVersionLast="47" xr6:coauthVersionMax="47" xr10:uidLastSave="{00000000-0000-0000-0000-000000000000}"/>
  <bookViews>
    <workbookView xWindow="-120" yWindow="-120" windowWidth="20730" windowHeight="11310" activeTab="6" xr2:uid="{B90DB635-554B-4DC8-8EB2-7B684AA3B8B5}"/>
  </bookViews>
  <sheets>
    <sheet name="1" sheetId="1" r:id="rId1"/>
    <sheet name="2" sheetId="2" r:id="rId2"/>
    <sheet name="3" sheetId="3" r:id="rId3"/>
    <sheet name="4" sheetId="4" r:id="rId4"/>
    <sheet name="5&amp;6" sheetId="5" r:id="rId5"/>
    <sheet name="7" sheetId="6" r:id="rId6"/>
    <sheet name="8" sheetId="7" r:id="rId7"/>
    <sheet name="9" sheetId="8"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7" i="7" l="1" a="1"/>
  <c r="F17" i="7"/>
  <c r="G16" i="7" a="1"/>
  <c r="G16" i="7"/>
  <c r="J24" i="8" a="1"/>
  <c r="J24" i="8"/>
  <c r="K22" i="8" a="1"/>
  <c r="K22" i="8"/>
  <c r="E21" i="8" a="1"/>
  <c r="E21" i="8"/>
  <c r="D17" i="8" a="1"/>
  <c r="D17" i="8"/>
  <c r="D18" i="8" a="1"/>
  <c r="D18" i="8"/>
  <c r="D16" i="8" a="1"/>
  <c r="D16" i="8"/>
  <c r="B55" i="8"/>
  <c r="I24" i="8"/>
  <c r="G24" i="8"/>
  <c r="D21" i="8"/>
  <c r="F24" i="8"/>
  <c r="D24" i="8" l="1"/>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23" i="8"/>
  <c r="A51" i="8"/>
  <c r="A52" i="8"/>
  <c r="A53" i="8"/>
  <c r="A25" i="8"/>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24" i="8"/>
  <c r="C15" i="8" a="1"/>
  <c r="C15" i="8"/>
  <c r="B15" i="8"/>
  <c r="B12" i="8"/>
  <c r="C18" i="8"/>
  <c r="C17" i="8"/>
  <c r="C16" i="8"/>
  <c r="C13" i="8" a="1"/>
  <c r="C13" i="8" s="1"/>
  <c r="C12" i="8" a="1"/>
  <c r="C12" i="8" s="1"/>
  <c r="B13" i="8"/>
  <c r="I71" i="7" a="1"/>
  <c r="I71" i="7"/>
  <c r="I70" i="7" a="1"/>
  <c r="I70" i="7"/>
  <c r="N74" i="7"/>
  <c r="M75" i="7"/>
  <c r="M74" i="7"/>
  <c r="B72" i="7"/>
  <c r="A73" i="7"/>
  <c r="B17" i="7"/>
  <c r="D17" i="7" s="1"/>
  <c r="A18" i="7"/>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C8" i="7" a="1"/>
  <c r="C8" i="7" s="1"/>
  <c r="C9" i="7" a="1"/>
  <c r="C9" i="7" s="1"/>
  <c r="C11" i="7" a="1"/>
  <c r="C11" i="7"/>
  <c r="B8" i="7"/>
  <c r="B9" i="7"/>
  <c r="E13" i="6"/>
  <c r="D13" i="6"/>
  <c r="B13" i="6"/>
  <c r="B14" i="6"/>
  <c r="D14" i="6" s="1"/>
  <c r="E14" i="6" s="1"/>
  <c r="B15" i="6"/>
  <c r="D15" i="6" s="1"/>
  <c r="E15" i="6" s="1"/>
  <c r="E12" i="6"/>
  <c r="C13" i="6"/>
  <c r="C14" i="6"/>
  <c r="C15" i="6"/>
  <c r="C16" i="6"/>
  <c r="C12" i="6"/>
  <c r="D12" i="6"/>
  <c r="B12" i="6"/>
  <c r="B8" i="6"/>
  <c r="C7" i="6" a="1"/>
  <c r="C7" i="6"/>
  <c r="B7" i="6"/>
  <c r="B18" i="5" a="1"/>
  <c r="B18" i="5"/>
  <c r="A18" i="5"/>
  <c r="E7" i="5"/>
  <c r="G7" i="5"/>
  <c r="H7" i="5" s="1"/>
  <c r="E8" i="5" s="1"/>
  <c r="C12" i="4" a="1"/>
  <c r="C12" i="4"/>
  <c r="C11" i="4" a="1"/>
  <c r="C11" i="4"/>
  <c r="C28" i="4"/>
  <c r="C27" i="4"/>
  <c r="E27" i="4"/>
  <c r="B28" i="4" s="1"/>
  <c r="E20" i="4"/>
  <c r="C20" i="4"/>
  <c r="B21" i="4"/>
  <c r="B20" i="4"/>
  <c r="E19" i="4"/>
  <c r="C19" i="4"/>
  <c r="B15" i="4" a="1"/>
  <c r="B15" i="4" s="1"/>
  <c r="A15" i="4"/>
  <c r="A14" i="4"/>
  <c r="B14" i="4" a="1"/>
  <c r="B14" i="4"/>
  <c r="B12" i="4"/>
  <c r="B11" i="4"/>
  <c r="E7" i="4"/>
  <c r="E8" i="4"/>
  <c r="E9" i="4"/>
  <c r="E10" i="4"/>
  <c r="E11" i="4"/>
  <c r="E12" i="4"/>
  <c r="E13" i="4"/>
  <c r="E14" i="4"/>
  <c r="E6" i="4"/>
  <c r="F6" i="4"/>
  <c r="F5" i="4"/>
  <c r="F4" i="4"/>
  <c r="I15" i="3"/>
  <c r="H15" i="3" s="1"/>
  <c r="I14" i="3"/>
  <c r="H14" i="3" s="1"/>
  <c r="I16" i="3"/>
  <c r="H16" i="3" s="1"/>
  <c r="I11" i="3"/>
  <c r="I12" i="3"/>
  <c r="I13" i="3"/>
  <c r="I17" i="3"/>
  <c r="I18" i="3"/>
  <c r="I19" i="3"/>
  <c r="H19" i="3"/>
  <c r="H18" i="3"/>
  <c r="H17" i="3"/>
  <c r="H13" i="3"/>
  <c r="H12" i="3"/>
  <c r="H11" i="3"/>
  <c r="F25" i="8" l="1"/>
  <c r="G25" i="8" s="1"/>
  <c r="I25" i="8"/>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17" i="7"/>
  <c r="E17" i="7" s="1"/>
  <c r="B18" i="7" s="1"/>
  <c r="B11" i="7"/>
  <c r="A74" i="7"/>
  <c r="G74" i="7"/>
  <c r="D72" i="7"/>
  <c r="E72" i="7"/>
  <c r="B73" i="7" s="1"/>
  <c r="B16" i="6"/>
  <c r="D16" i="6" s="1"/>
  <c r="E16" i="6" s="1"/>
  <c r="G8" i="5"/>
  <c r="H8" i="5" s="1"/>
  <c r="E9" i="5"/>
  <c r="G9" i="5"/>
  <c r="H9" i="5" s="1"/>
  <c r="E10" i="5" s="1"/>
  <c r="E28" i="4"/>
  <c r="B29" i="4" s="1"/>
  <c r="C29" i="4" s="1"/>
  <c r="C21" i="4"/>
  <c r="E21" i="4" s="1"/>
  <c r="B22" i="4" s="1"/>
  <c r="F7" i="4"/>
  <c r="F26" i="8" l="1"/>
  <c r="G26" i="8" s="1"/>
  <c r="I26" i="8"/>
  <c r="G72" i="7"/>
  <c r="G73" i="7"/>
  <c r="A75" i="7"/>
  <c r="G75" i="7"/>
  <c r="D18" i="7"/>
  <c r="E18" i="7" s="1"/>
  <c r="B19" i="7" s="1"/>
  <c r="D19" i="7" s="1"/>
  <c r="E19" i="7" s="1"/>
  <c r="B20" i="7" s="1"/>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D73" i="7"/>
  <c r="E73" i="7" s="1"/>
  <c r="B74" i="7" s="1"/>
  <c r="D20" i="7"/>
  <c r="E20" i="7" s="1"/>
  <c r="B21" i="7" s="1"/>
  <c r="B17" i="6"/>
  <c r="G10" i="5"/>
  <c r="H10" i="5" s="1"/>
  <c r="E11" i="5" s="1"/>
  <c r="E29" i="4"/>
  <c r="B30" i="4" s="1"/>
  <c r="C30" i="4" s="1"/>
  <c r="C22" i="4"/>
  <c r="E22" i="4" s="1"/>
  <c r="B23" i="4" s="1"/>
  <c r="F8" i="4"/>
  <c r="F27" i="8" l="1"/>
  <c r="G27" i="8" s="1"/>
  <c r="I27" i="8"/>
  <c r="A76" i="7"/>
  <c r="G76" i="7"/>
  <c r="D74" i="7"/>
  <c r="E74" i="7" s="1"/>
  <c r="B75" i="7" s="1"/>
  <c r="D21" i="7"/>
  <c r="E21" i="7" s="1"/>
  <c r="B22" i="7" s="1"/>
  <c r="G11" i="5"/>
  <c r="H11" i="5" s="1"/>
  <c r="E12" i="5" s="1"/>
  <c r="E30" i="4"/>
  <c r="B31" i="4" s="1"/>
  <c r="C31" i="4" s="1"/>
  <c r="C23" i="4"/>
  <c r="E23" i="4" s="1"/>
  <c r="B24" i="4" s="1"/>
  <c r="F9" i="4"/>
  <c r="F28" i="8" l="1"/>
  <c r="G28" i="8" s="1"/>
  <c r="I28" i="8"/>
  <c r="A77" i="7"/>
  <c r="G77" i="7"/>
  <c r="D75" i="7"/>
  <c r="E75" i="7" s="1"/>
  <c r="B76" i="7" s="1"/>
  <c r="D22" i="7"/>
  <c r="E22" i="7" s="1"/>
  <c r="B23" i="7" s="1"/>
  <c r="E31" i="4"/>
  <c r="B32" i="4" s="1"/>
  <c r="F10" i="4"/>
  <c r="F29" i="8" l="1"/>
  <c r="G29" i="8" s="1"/>
  <c r="I29" i="8"/>
  <c r="A78" i="7"/>
  <c r="G78" i="7"/>
  <c r="D76" i="7"/>
  <c r="E76" i="7" s="1"/>
  <c r="B77" i="7" s="1"/>
  <c r="D23" i="7"/>
  <c r="E23" i="7" s="1"/>
  <c r="B24" i="7" s="1"/>
  <c r="F11" i="4"/>
  <c r="F30" i="8" l="1"/>
  <c r="G30" i="8" s="1"/>
  <c r="I30" i="8"/>
  <c r="A79" i="7"/>
  <c r="G79" i="7"/>
  <c r="D77" i="7"/>
  <c r="E77" i="7" s="1"/>
  <c r="B78" i="7" s="1"/>
  <c r="D24" i="7"/>
  <c r="E24" i="7" s="1"/>
  <c r="B25" i="7" s="1"/>
  <c r="F12" i="4"/>
  <c r="F31" i="8" l="1"/>
  <c r="G31" i="8" s="1"/>
  <c r="I31" i="8"/>
  <c r="A80" i="7"/>
  <c r="G80" i="7"/>
  <c r="D78" i="7"/>
  <c r="E78" i="7" s="1"/>
  <c r="B79" i="7" s="1"/>
  <c r="D25" i="7"/>
  <c r="E25" i="7" s="1"/>
  <c r="B26" i="7" s="1"/>
  <c r="F13" i="4"/>
  <c r="F32" i="8" l="1"/>
  <c r="G32" i="8" s="1"/>
  <c r="I32" i="8"/>
  <c r="A81" i="7"/>
  <c r="G81" i="7"/>
  <c r="D79" i="7"/>
  <c r="E79" i="7" s="1"/>
  <c r="B80" i="7" s="1"/>
  <c r="D26" i="7"/>
  <c r="E26" i="7" s="1"/>
  <c r="B27" i="7" s="1"/>
  <c r="F14" i="4"/>
  <c r="F33" i="8" l="1"/>
  <c r="G33" i="8" s="1"/>
  <c r="I33" i="8"/>
  <c r="A82" i="7"/>
  <c r="G82" i="7"/>
  <c r="D80" i="7"/>
  <c r="E80" i="7" s="1"/>
  <c r="B81" i="7" s="1"/>
  <c r="D27" i="7"/>
  <c r="E27" i="7" s="1"/>
  <c r="B28" i="7" s="1"/>
  <c r="C9" i="3" a="1"/>
  <c r="C9" i="3"/>
  <c r="C16" i="3" a="1"/>
  <c r="C16" i="3"/>
  <c r="B15" i="3"/>
  <c r="E11" i="2"/>
  <c r="D11" i="2"/>
  <c r="B12" i="2"/>
  <c r="B11" i="2"/>
  <c r="D10" i="2"/>
  <c r="C11" i="2"/>
  <c r="C12" i="2"/>
  <c r="C13" i="2"/>
  <c r="C14" i="2"/>
  <c r="E10" i="2"/>
  <c r="C10" i="2"/>
  <c r="B7" i="2"/>
  <c r="B10" i="2"/>
  <c r="C32" i="1"/>
  <c r="E32" i="1"/>
  <c r="B33" i="1"/>
  <c r="D32" i="1"/>
  <c r="D33" i="1"/>
  <c r="D34" i="1"/>
  <c r="D35" i="1"/>
  <c r="D36" i="1"/>
  <c r="D37" i="1"/>
  <c r="D38" i="1"/>
  <c r="D39" i="1"/>
  <c r="D40" i="1"/>
  <c r="B32" i="1"/>
  <c r="E31" i="1"/>
  <c r="D31" i="1"/>
  <c r="C31" i="1"/>
  <c r="B31" i="1"/>
  <c r="B27" i="1"/>
  <c r="F34" i="8" l="1"/>
  <c r="G34" i="8" s="1"/>
  <c r="I34" i="8"/>
  <c r="A83" i="7"/>
  <c r="G83" i="7"/>
  <c r="D81" i="7"/>
  <c r="E81" i="7" s="1"/>
  <c r="B82" i="7" s="1"/>
  <c r="D28" i="7"/>
  <c r="E28" i="7" s="1"/>
  <c r="B29" i="7" s="1"/>
  <c r="B16" i="3"/>
  <c r="D12" i="2"/>
  <c r="E12" i="2" s="1"/>
  <c r="B13" i="2" s="1"/>
  <c r="C33" i="1"/>
  <c r="E33" i="1" s="1"/>
  <c r="B34" i="1" s="1"/>
  <c r="F35" i="8" l="1"/>
  <c r="G35" i="8" s="1"/>
  <c r="I35" i="8"/>
  <c r="A84" i="7"/>
  <c r="G84" i="7"/>
  <c r="D82" i="7"/>
  <c r="E82" i="7" s="1"/>
  <c r="B83" i="7" s="1"/>
  <c r="D29" i="7"/>
  <c r="E29" i="7" s="1"/>
  <c r="B30" i="7" s="1"/>
  <c r="B17" i="3"/>
  <c r="D13" i="2"/>
  <c r="E13" i="2" s="1"/>
  <c r="B14" i="2" s="1"/>
  <c r="C34" i="1"/>
  <c r="E34" i="1" s="1"/>
  <c r="B35" i="1" s="1"/>
  <c r="F36" i="8" l="1"/>
  <c r="G36" i="8" s="1"/>
  <c r="I36" i="8"/>
  <c r="A85" i="7"/>
  <c r="G85" i="7"/>
  <c r="D83" i="7"/>
  <c r="E83" i="7" s="1"/>
  <c r="B84" i="7" s="1"/>
  <c r="D30" i="7"/>
  <c r="E30" i="7" s="1"/>
  <c r="B31" i="7" s="1"/>
  <c r="B18" i="3"/>
  <c r="D14" i="2"/>
  <c r="E14" i="2" s="1"/>
  <c r="B15" i="2" s="1"/>
  <c r="C35" i="1"/>
  <c r="E35" i="1" s="1"/>
  <c r="B36" i="1" s="1"/>
  <c r="F37" i="8" l="1"/>
  <c r="G37" i="8" s="1"/>
  <c r="I37" i="8"/>
  <c r="A86" i="7"/>
  <c r="G86" i="7"/>
  <c r="D84" i="7"/>
  <c r="E84" i="7" s="1"/>
  <c r="B85" i="7" s="1"/>
  <c r="D31" i="7"/>
  <c r="E31" i="7" s="1"/>
  <c r="B32" i="7" s="1"/>
  <c r="B19" i="3"/>
  <c r="C36" i="1"/>
  <c r="E36" i="1" s="1"/>
  <c r="B37" i="1" s="1"/>
  <c r="F38" i="8" l="1"/>
  <c r="G38" i="8" s="1"/>
  <c r="I38" i="8"/>
  <c r="A87" i="7"/>
  <c r="G87" i="7"/>
  <c r="D85" i="7"/>
  <c r="E85" i="7" s="1"/>
  <c r="B86" i="7" s="1"/>
  <c r="D32" i="7"/>
  <c r="E32" i="7" s="1"/>
  <c r="B33" i="7" s="1"/>
  <c r="B20" i="3"/>
  <c r="C37" i="1"/>
  <c r="E37" i="1" s="1"/>
  <c r="B38" i="1" s="1"/>
  <c r="F39" i="8" l="1"/>
  <c r="G39" i="8" s="1"/>
  <c r="I39" i="8"/>
  <c r="A88" i="7"/>
  <c r="G88" i="7"/>
  <c r="D86" i="7"/>
  <c r="E86" i="7" s="1"/>
  <c r="B87" i="7" s="1"/>
  <c r="D33" i="7"/>
  <c r="E33" i="7" s="1"/>
  <c r="B34" i="7" s="1"/>
  <c r="B21" i="3"/>
  <c r="C38" i="1"/>
  <c r="E38" i="1" s="1"/>
  <c r="B39" i="1" s="1"/>
  <c r="F40" i="8" l="1"/>
  <c r="G40" i="8" s="1"/>
  <c r="I40" i="8"/>
  <c r="A89" i="7"/>
  <c r="G89" i="7"/>
  <c r="D87" i="7"/>
  <c r="E87" i="7" s="1"/>
  <c r="B88" i="7" s="1"/>
  <c r="D34" i="7"/>
  <c r="E34" i="7" s="1"/>
  <c r="B35" i="7" s="1"/>
  <c r="B22" i="3"/>
  <c r="C39" i="1"/>
  <c r="E39" i="1" s="1"/>
  <c r="B40" i="1" s="1"/>
  <c r="F41" i="8" l="1"/>
  <c r="G41" i="8" s="1"/>
  <c r="I41" i="8"/>
  <c r="A90" i="7"/>
  <c r="G90" i="7"/>
  <c r="D88" i="7"/>
  <c r="E88" i="7" s="1"/>
  <c r="B89" i="7" s="1"/>
  <c r="D35" i="7"/>
  <c r="E35" i="7" s="1"/>
  <c r="B36" i="7" s="1"/>
  <c r="B23" i="3"/>
  <c r="C40" i="1"/>
  <c r="E40" i="1" s="1"/>
  <c r="F42" i="8" l="1"/>
  <c r="G42" i="8" s="1"/>
  <c r="I42" i="8"/>
  <c r="A91" i="7"/>
  <c r="G91" i="7"/>
  <c r="D89" i="7"/>
  <c r="E89" i="7" s="1"/>
  <c r="B90" i="7" s="1"/>
  <c r="D36" i="7"/>
  <c r="E36" i="7" s="1"/>
  <c r="B37" i="7" s="1"/>
  <c r="B24" i="3"/>
  <c r="C23" i="1" a="1"/>
  <c r="C23" i="1" s="1"/>
  <c r="B23" i="1"/>
  <c r="C8" i="1" a="1"/>
  <c r="C8" i="1"/>
  <c r="B8" i="1"/>
  <c r="F43" i="8" l="1"/>
  <c r="G43" i="8" s="1"/>
  <c r="I43" i="8"/>
  <c r="A92" i="7"/>
  <c r="G92" i="7"/>
  <c r="D90" i="7"/>
  <c r="E90" i="7" s="1"/>
  <c r="B91" i="7" s="1"/>
  <c r="D37" i="7"/>
  <c r="E37" i="7" s="1"/>
  <c r="B38" i="7" s="1"/>
  <c r="B25" i="3"/>
  <c r="B9" i="3" s="1"/>
  <c r="F44" i="8" l="1"/>
  <c r="G44" i="8" s="1"/>
  <c r="I44" i="8"/>
  <c r="A93" i="7"/>
  <c r="G93" i="7"/>
  <c r="D91" i="7"/>
  <c r="E91" i="7" s="1"/>
  <c r="B92" i="7" s="1"/>
  <c r="D38" i="7"/>
  <c r="E38" i="7" s="1"/>
  <c r="B39" i="7" s="1"/>
  <c r="F45" i="8" l="1"/>
  <c r="G45" i="8" s="1"/>
  <c r="I45" i="8"/>
  <c r="A94" i="7"/>
  <c r="G94" i="7"/>
  <c r="D92" i="7"/>
  <c r="E92" i="7" s="1"/>
  <c r="B93" i="7" s="1"/>
  <c r="D39" i="7"/>
  <c r="E39" i="7" s="1"/>
  <c r="B40" i="7" s="1"/>
  <c r="F46" i="8" l="1"/>
  <c r="G46" i="8" s="1"/>
  <c r="I46" i="8"/>
  <c r="A95" i="7"/>
  <c r="G95" i="7"/>
  <c r="D93" i="7"/>
  <c r="E93" i="7" s="1"/>
  <c r="B94" i="7" s="1"/>
  <c r="D40" i="7"/>
  <c r="E40" i="7" s="1"/>
  <c r="B41" i="7" s="1"/>
  <c r="F47" i="8" l="1"/>
  <c r="G47" i="8" s="1"/>
  <c r="I47" i="8"/>
  <c r="A96" i="7"/>
  <c r="G96" i="7"/>
  <c r="D94" i="7"/>
  <c r="E94" i="7" s="1"/>
  <c r="B95" i="7" s="1"/>
  <c r="D41" i="7"/>
  <c r="E41" i="7" s="1"/>
  <c r="B42" i="7" s="1"/>
  <c r="F48" i="8" l="1"/>
  <c r="G48" i="8" s="1"/>
  <c r="I48" i="8"/>
  <c r="A97" i="7"/>
  <c r="G97" i="7"/>
  <c r="D95" i="7"/>
  <c r="E95" i="7" s="1"/>
  <c r="B96" i="7" s="1"/>
  <c r="D42" i="7"/>
  <c r="E42" i="7" s="1"/>
  <c r="B43" i="7" s="1"/>
  <c r="F49" i="8" l="1"/>
  <c r="G49" i="8" s="1"/>
  <c r="I49" i="8"/>
  <c r="A98" i="7"/>
  <c r="G98" i="7"/>
  <c r="D96" i="7"/>
  <c r="E96" i="7" s="1"/>
  <c r="B97" i="7" s="1"/>
  <c r="D43" i="7"/>
  <c r="E43" i="7" s="1"/>
  <c r="B44" i="7" s="1"/>
  <c r="F50" i="8" l="1"/>
  <c r="G50" i="8" s="1"/>
  <c r="I50" i="8"/>
  <c r="A99" i="7"/>
  <c r="G99" i="7"/>
  <c r="D97" i="7"/>
  <c r="E97" i="7" s="1"/>
  <c r="B98" i="7" s="1"/>
  <c r="D44" i="7"/>
  <c r="E44" i="7" s="1"/>
  <c r="B45" i="7" s="1"/>
  <c r="F51" i="8" l="1"/>
  <c r="G51" i="8" s="1"/>
  <c r="I51" i="8"/>
  <c r="A100" i="7"/>
  <c r="G100" i="7"/>
  <c r="D98" i="7"/>
  <c r="E98" i="7" s="1"/>
  <c r="B99" i="7" s="1"/>
  <c r="D45" i="7"/>
  <c r="E45" i="7" s="1"/>
  <c r="B46" i="7" s="1"/>
  <c r="F52" i="8" l="1"/>
  <c r="G52" i="8" s="1"/>
  <c r="I52" i="8"/>
  <c r="A101" i="7"/>
  <c r="G101" i="7"/>
  <c r="D99" i="7"/>
  <c r="E99" i="7" s="1"/>
  <c r="B100" i="7" s="1"/>
  <c r="D46" i="7"/>
  <c r="E46" i="7" s="1"/>
  <c r="B47" i="7" s="1"/>
  <c r="F53" i="8" l="1"/>
  <c r="G53" i="8" s="1"/>
  <c r="I53" i="8"/>
  <c r="A102" i="7"/>
  <c r="G102" i="7"/>
  <c r="D100" i="7"/>
  <c r="E100" i="7" s="1"/>
  <c r="B101" i="7" s="1"/>
  <c r="D47" i="7"/>
  <c r="E47" i="7" s="1"/>
  <c r="B48" i="7" s="1"/>
  <c r="A103" i="7" l="1"/>
  <c r="G103" i="7"/>
  <c r="D101" i="7"/>
  <c r="E101" i="7" s="1"/>
  <c r="B102" i="7" s="1"/>
  <c r="D48" i="7"/>
  <c r="E48" i="7" s="1"/>
  <c r="B49" i="7" s="1"/>
  <c r="A104" i="7" l="1"/>
  <c r="G104" i="7"/>
  <c r="D102" i="7"/>
  <c r="E102" i="7" s="1"/>
  <c r="B103" i="7" s="1"/>
  <c r="D49" i="7"/>
  <c r="E49" i="7" s="1"/>
  <c r="B50" i="7" s="1"/>
  <c r="A105" i="7" l="1"/>
  <c r="G105" i="7"/>
  <c r="D103" i="7"/>
  <c r="E103" i="7" s="1"/>
  <c r="B104" i="7" s="1"/>
  <c r="D50" i="7"/>
  <c r="E50" i="7" s="1"/>
  <c r="B51" i="7" s="1"/>
  <c r="A106" i="7" l="1"/>
  <c r="G106" i="7"/>
  <c r="D104" i="7"/>
  <c r="E104" i="7" s="1"/>
  <c r="B105" i="7" s="1"/>
  <c r="D51" i="7"/>
  <c r="E51" i="7" s="1"/>
  <c r="B52" i="7" s="1"/>
  <c r="A107" i="7" l="1"/>
  <c r="G107" i="7"/>
  <c r="D105" i="7"/>
  <c r="E105" i="7" s="1"/>
  <c r="B106" i="7" s="1"/>
  <c r="D52" i="7"/>
  <c r="E52" i="7" s="1"/>
  <c r="B53" i="7" s="1"/>
  <c r="A108" i="7" l="1"/>
  <c r="G108" i="7"/>
  <c r="D106" i="7"/>
  <c r="E106" i="7" s="1"/>
  <c r="B107" i="7" s="1"/>
  <c r="D53" i="7"/>
  <c r="E53" i="7" s="1"/>
  <c r="B54" i="7" s="1"/>
  <c r="A109" i="7" l="1"/>
  <c r="G109" i="7"/>
  <c r="D107" i="7"/>
  <c r="E107" i="7" s="1"/>
  <c r="B108" i="7" s="1"/>
  <c r="D54" i="7"/>
  <c r="E54" i="7" s="1"/>
  <c r="B55" i="7" s="1"/>
  <c r="A110" i="7" l="1"/>
  <c r="G110" i="7"/>
  <c r="D108" i="7"/>
  <c r="E108" i="7" s="1"/>
  <c r="B109" i="7" s="1"/>
  <c r="D55" i="7"/>
  <c r="E55" i="7" s="1"/>
  <c r="B56" i="7" s="1"/>
  <c r="A111" i="7" l="1"/>
  <c r="G111" i="7"/>
  <c r="D109" i="7"/>
  <c r="E109" i="7" s="1"/>
  <c r="B110" i="7" s="1"/>
  <c r="D56" i="7"/>
  <c r="E56" i="7" s="1"/>
  <c r="B57" i="7" s="1"/>
  <c r="A112" i="7" l="1"/>
  <c r="G112" i="7"/>
  <c r="D110" i="7"/>
  <c r="E110" i="7" s="1"/>
  <c r="B111" i="7" s="1"/>
  <c r="D57" i="7"/>
  <c r="E57" i="7" s="1"/>
  <c r="B58" i="7" s="1"/>
  <c r="A113" i="7" l="1"/>
  <c r="G113" i="7"/>
  <c r="D111" i="7"/>
  <c r="E111" i="7" s="1"/>
  <c r="B112" i="7" s="1"/>
  <c r="D58" i="7"/>
  <c r="E58" i="7" s="1"/>
  <c r="B59" i="7" s="1"/>
  <c r="A114" i="7" l="1"/>
  <c r="G114" i="7"/>
  <c r="D112" i="7"/>
  <c r="E112" i="7" s="1"/>
  <c r="B113" i="7" s="1"/>
  <c r="D59" i="7"/>
  <c r="E59" i="7" s="1"/>
  <c r="B60" i="7" s="1"/>
  <c r="A115" i="7" l="1"/>
  <c r="G115" i="7"/>
  <c r="D113" i="7"/>
  <c r="E113" i="7" s="1"/>
  <c r="B114" i="7" s="1"/>
  <c r="D60" i="7"/>
  <c r="E60" i="7" s="1"/>
  <c r="B61" i="7" s="1"/>
  <c r="A116" i="7" l="1"/>
  <c r="G116" i="7"/>
  <c r="D114" i="7"/>
  <c r="E114" i="7" s="1"/>
  <c r="B115" i="7" s="1"/>
  <c r="D61" i="7"/>
  <c r="E61" i="7" s="1"/>
  <c r="B62" i="7" s="1"/>
  <c r="A117" i="7" l="1"/>
  <c r="G117" i="7"/>
  <c r="D115" i="7"/>
  <c r="E115" i="7" s="1"/>
  <c r="B116" i="7" s="1"/>
  <c r="D62" i="7"/>
  <c r="E62" i="7" s="1"/>
  <c r="B63" i="7" s="1"/>
  <c r="A118" i="7" l="1"/>
  <c r="G118" i="7"/>
  <c r="D116" i="7"/>
  <c r="E116" i="7" s="1"/>
  <c r="B117" i="7" s="1"/>
  <c r="D63" i="7"/>
  <c r="E63" i="7" s="1"/>
  <c r="B64" i="7" s="1"/>
  <c r="A119" i="7" l="1"/>
  <c r="A120" i="7" s="1"/>
  <c r="G119" i="7"/>
  <c r="D117" i="7"/>
  <c r="E117" i="7" s="1"/>
  <c r="B118" i="7" s="1"/>
  <c r="D64" i="7"/>
  <c r="E64" i="7" s="1"/>
  <c r="B65" i="7" s="1"/>
  <c r="D118" i="7" l="1"/>
  <c r="E118" i="7" s="1"/>
  <c r="B119" i="7" s="1"/>
  <c r="D119" i="7" l="1"/>
  <c r="E119" i="7" s="1"/>
  <c r="B120" i="7"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<sst xmlns="http://schemas.openxmlformats.org/spreadsheetml/2006/main" count="140" uniqueCount="86">
  <si>
    <t>You are offered an asset costing $600 that has cash flows of $100 at the end of each of the next 10 years.</t>
  </si>
  <si>
    <t>1. If the appropriate discount rate for the asset is 8%, should you purchase it?</t>
  </si>
  <si>
    <t>Net Present Value</t>
  </si>
  <si>
    <t>Cost</t>
  </si>
  <si>
    <t>Number of years,n</t>
  </si>
  <si>
    <t>Discount rate</t>
  </si>
  <si>
    <t>Cash flow</t>
  </si>
  <si>
    <t>We should purchase the asset because the Net Present Value is positive.</t>
  </si>
  <si>
    <t>Year</t>
  </si>
  <si>
    <t>2. What is the IRR of the asset?</t>
  </si>
  <si>
    <t>IRR</t>
  </si>
  <si>
    <t>Investment at beginning of year</t>
  </si>
  <si>
    <t>Interest earned</t>
  </si>
  <si>
    <t>Cash flow at end of year</t>
  </si>
  <si>
    <t>Investment at end of year</t>
  </si>
  <si>
    <t>The IRR of the asset is 10.56%</t>
  </si>
  <si>
    <t>You just took a $10,000, 5-year mortgage loan. Payments at the end of each year are flat (equal in every year) at an interest rate of 15%. Calculate the appropriate loan amortization table, showing the breakdown in each year between principal and interest.</t>
  </si>
  <si>
    <t>Principal at beginning of year</t>
  </si>
  <si>
    <t>Payment at end of year</t>
  </si>
  <si>
    <t>Interest</t>
  </si>
  <si>
    <t>Principal repayment</t>
  </si>
  <si>
    <t>Split payment into:</t>
  </si>
  <si>
    <t>Principal</t>
  </si>
  <si>
    <t>Number of years</t>
  </si>
  <si>
    <t>Interest rate</t>
  </si>
  <si>
    <t>Annual payment</t>
  </si>
  <si>
    <t>You are offered an investment with the following conditions</t>
  </si>
  <si>
    <t>The cost of the investment is $1000</t>
  </si>
  <si>
    <t>The investment pays out a sum X at the end of the first year, this payout grows at the rate of 10% per year for 11 years</t>
  </si>
  <si>
    <t>If your discount rate is 15%, calculate the smallest X that would entice you to purchase the asset. For example, in the table below, X = $100 is too small - the NPV is negative</t>
  </si>
  <si>
    <t>NPV</t>
  </si>
  <si>
    <t>Payout growth rate, g</t>
  </si>
  <si>
    <t>X</t>
  </si>
  <si>
    <t>PV</t>
  </si>
  <si>
    <t>We would purchase the asset if the Net Present Value is positive. Therefore the smallest X that would entice us to purchase the asset is $129.30</t>
  </si>
  <si>
    <t>The following cash flow pattern has two IRRs. Use Excel to draw a graph of the NPV of these cash flows as a function of the discount rate. Then use the IRR function to identify the two IRRs. Would you invest in this project if the opportunity cost were 20%?</t>
  </si>
  <si>
    <t>First IRR</t>
  </si>
  <si>
    <t>Second IRR</t>
  </si>
  <si>
    <t>Investment value at end of year</t>
  </si>
  <si>
    <t>Investment value at beginning of year</t>
  </si>
  <si>
    <t>Interest earned (r=6.34%)</t>
  </si>
  <si>
    <t>Interest earned (r=60.20%)</t>
  </si>
  <si>
    <t>IRR?</t>
  </si>
  <si>
    <t>Consider an investment that costs 800 and has cash flows of 300, 200, 150, 122, and 133 in years 1 to 5. By changing the IRR in cell B3, find the internal rate of return of the investment.</t>
  </si>
  <si>
    <t>LOAN TABLE</t>
  </si>
  <si>
    <t>Division of payment between:</t>
  </si>
  <si>
    <t>I would invest in this project if the opportunity cost were 20% because the Net Present Value of the project given an opportunity cost of 20% is positive.</t>
  </si>
  <si>
    <t>Setting IRR to 3% gives a negative NPV, so we know -3% &lt; IRR &lt; 10%</t>
  </si>
  <si>
    <t>Checking if the IRR is indeed 5.07%</t>
  </si>
  <si>
    <t>Calculate the flat annual payment required to pay off a 13%, 5-year mortgage loan of $100,000</t>
  </si>
  <si>
    <t>Loan amount</t>
  </si>
  <si>
    <t>Loan term</t>
  </si>
  <si>
    <t>Annual Payment</t>
  </si>
  <si>
    <t>Using formula</t>
  </si>
  <si>
    <t>Confirming our answer using a loan table</t>
  </si>
  <si>
    <t>Using Excel's PMT function</t>
  </si>
  <si>
    <t>You have just taken a car loan of $15,000. The loan is for 48 months at an annual interest rate of 15% (which the bank translates to a monthly rate of 15%/12 = 1.25%). The 48 payments (to be made at the end of each of the next 48 months) are all equal.</t>
  </si>
  <si>
    <t>1. Calculate the monthly payment on the loan</t>
  </si>
  <si>
    <t>Using Excel's  PMT function</t>
  </si>
  <si>
    <t>Monthly payment</t>
  </si>
  <si>
    <t>Proving that our answer is correct</t>
  </si>
  <si>
    <t>2. In a loan table calculate, for each month, the principal remaining on the loan at the beginning of the month and the split of that month's payment between interest and repayment of principal</t>
  </si>
  <si>
    <t>Principal at beginning of month</t>
  </si>
  <si>
    <t>Payment at end of month</t>
  </si>
  <si>
    <t>3. Show that the principal at the beginning of each month is the present value of the remaining loan payments at the loan interest rate (use either NPV or the PV function</t>
  </si>
  <si>
    <t>Using PV</t>
  </si>
  <si>
    <t>Present Value of remaining loan payments</t>
  </si>
  <si>
    <t>Using NPV</t>
  </si>
  <si>
    <t>You are considering buying a car from a local auto dealer. The dealer offers you one of two payment options:</t>
  </si>
  <si>
    <t>You can pay $30000 cash</t>
  </si>
  <si>
    <t>You can choose a "deferred payment plan", paying the dealer $5000 cash today and a payment of $1050 at the end of each of the next 30 months.</t>
  </si>
  <si>
    <t>As an alternative to the dealer financing, you have approached a local bank, which is willing to give you a car loan of $25000 at the rate of 1.25% per month.</t>
  </si>
  <si>
    <t>1. Assuming that 1.25% is the opportunity cost, calculate the present value of all the payments on the dealer's deferred payment plan.</t>
  </si>
  <si>
    <t>Using Excel's PV function</t>
  </si>
  <si>
    <t>2. What is the effective interest rate being charged by the dealer?</t>
  </si>
  <si>
    <t>Cash payment</t>
  </si>
  <si>
    <t>Present Value of payments of 1050 at the end of each of the next 30 months</t>
  </si>
  <si>
    <t>Present Value of all the payments on the deferred payment plan</t>
  </si>
  <si>
    <t>Month</t>
  </si>
  <si>
    <t>Payment under deferred payment plan</t>
  </si>
  <si>
    <t>Difference</t>
  </si>
  <si>
    <t>interest</t>
  </si>
  <si>
    <t>cash flow</t>
  </si>
  <si>
    <t>value at end of month</t>
  </si>
  <si>
    <t>investment value at beginning of month</t>
  </si>
  <si>
    <t>Monthly effective interest rate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</si>
</sst>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quot;£&quot;#,##0.00;[Red]\-&quot;£&quot;#,##0.00"/>
    <numFmt numFmtId="44" formatCode="_-&quot;£&quot;* #,##0.00_-;\-&quot;£&quot;* #,##0.00_-;_-&quot;£&quot;* &quot;-&quot;??_-;_-@_-"/>
    <numFmt numFmtId="164" formatCode="_-[$$-409]* #,##0.00_ ;_-[$$-409]* \-#,##0.00\ ;_-[$$-409]* &quot;-&quot;??_ ;_-@_ "/>
    <numFmt numFmtId="165" formatCode="0.000"/>
    <numFmt numFmtId="166" formatCode="0.0000"/>
    <numFmt numFmtId="167" formatCode="0.0%"/>
    <numFmt numFmtId="168" formatCode="&quot;£&quot;#,##0.00"/>
  </numFmts>
  <fonts count="5"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b/>
      <i/>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44" fontId="1" fillId="0" borderId="0" applyFont="0" applyFill="0" applyBorder="0" applyAlignment="0" applyProtection="0"/>
  </cellStyleXfs>
  <cellXfs count="42">
    <xf numFmtId="0" fontId="0" fillId="0" borderId="0" xfId="0"/>
    <xf numFmtId="9" fontId="0" fillId="0" borderId="0" xfId="0" applyNumberFormat="1"/>
    <xf numFmtId="0" fontId="2" fillId="0" borderId="0" xfId="0" applyFont="1"/>
    <xf numFmtId="164" fontId="0" fillId="0" borderId="0" xfId="0" applyNumberFormat="1"/>
    <xf numFmtId="164" fontId="0" fillId="0" borderId="0" xfId="1" applyNumberFormat="1" applyFont="1"/>
    <xf numFmtId="0" fontId="0" fillId="0" borderId="0" xfId="0" applyAlignment="1">
      <alignment horizontal="center"/>
    </xf>
    <xf numFmtId="2" fontId="0" fillId="0" borderId="0" xfId="0" applyNumberFormat="1"/>
    <xf numFmtId="10" fontId="0" fillId="0" borderId="0" xfId="0" applyNumberFormat="1"/>
    <xf numFmtId="0" fontId="2" fillId="0" borderId="0" xfId="0" applyFont="1" applyAlignment="1">
      <alignment horizontal="center"/>
    </xf>
    <xf numFmtId="0" fontId="2" fillId="0" borderId="0" xfId="0" applyFont="1" applyAlignment="1">
      <alignment horizontal="center" vertical="top" wrapText="1"/>
    </xf>
    <xf numFmtId="3" fontId="0" fillId="0" borderId="0" xfId="0" applyNumberFormat="1"/>
    <xf numFmtId="0" fontId="2" fillId="0" borderId="0" xfId="0" applyFont="1" applyAlignment="1">
      <alignment horizontal="center" vertical="center"/>
    </xf>
    <xf numFmtId="0" fontId="3" fillId="0" borderId="0" xfId="0" applyFont="1"/>
    <xf numFmtId="165" fontId="0" fillId="0" borderId="0" xfId="0" applyNumberFormat="1"/>
    <xf numFmtId="8" fontId="0" fillId="0" borderId="0" xfId="0" applyNumberFormat="1"/>
    <xf numFmtId="166" fontId="0" fillId="0" borderId="0" xfId="0" applyNumberFormat="1"/>
    <xf numFmtId="167" fontId="0" fillId="0" borderId="0" xfId="0" applyNumberFormat="1"/>
    <xf numFmtId="0" fontId="0" fillId="0" borderId="0" xfId="0" applyAlignment="1">
      <alignment horizontal="center" vertical="center" wrapText="1"/>
    </xf>
    <xf numFmtId="2" fontId="0" fillId="0" borderId="0" xfId="1" applyNumberFormat="1" applyFont="1"/>
    <xf numFmtId="0" fontId="2" fillId="0" borderId="0" xfId="0" applyFont="1" applyAlignment="1">
      <alignment horizontal="center" vertical="center" wrapText="1"/>
    </xf>
    <xf numFmtId="0" fontId="0" fillId="0" borderId="0" xfId="0" applyAlignment="1">
      <alignment horizontal="center" vertical="top" wrapText="1"/>
    </xf>
    <xf numFmtId="0" fontId="2" fillId="0" borderId="0" xfId="0" applyFont="1" applyAlignment="1">
      <alignment vertical="center"/>
    </xf>
    <xf numFmtId="0" fontId="0" fillId="0" borderId="0" xfId="0" applyAlignment="1">
      <alignment vertical="center"/>
    </xf>
    <xf numFmtId="4" fontId="0" fillId="0" borderId="0" xfId="0" applyNumberFormat="1"/>
    <xf numFmtId="0" fontId="4" fillId="0" borderId="0" xfId="0" applyFont="1"/>
    <xf numFmtId="0" fontId="0" fillId="0" borderId="0" xfId="0" applyAlignment="1">
      <alignment wrapText="1"/>
    </xf>
    <xf numFmtId="0" fontId="0" fillId="0" borderId="0" xfId="0" applyAlignment="1">
      <alignment vertical="top" wrapText="1"/>
    </xf>
    <xf numFmtId="168" fontId="0" fillId="0" borderId="0" xfId="1" applyNumberFormat="1" applyFont="1"/>
    <xf numFmtId="0" fontId="2" fillId="0" borderId="0" xfId="0" applyFont="1" applyAlignment="1">
      <alignment horizontal="left" vertical="top" wrapText="1"/>
    </xf>
    <xf numFmtId="0" fontId="0" fillId="0" borderId="0" xfId="0" applyAlignment="1">
      <alignment horizontal="left" vertical="top" wrapText="1"/>
    </xf>
    <xf numFmtId="0" fontId="3" fillId="0" borderId="0" xfId="0" applyFont="1" applyAlignment="1">
      <alignment horizontal="left" vertical="top"/>
    </xf>
    <xf numFmtId="0" fontId="2" fillId="0" borderId="0" xfId="0" applyFont="1"/>
    <xf numFmtId="0" fontId="3" fillId="0" borderId="0" xfId="0" applyFont="1" applyAlignment="1">
      <alignment horizontal="left" vertical="top" wrapText="1"/>
    </xf>
    <xf numFmtId="0" fontId="0" fillId="0" borderId="0" xfId="0" applyAlignment="1">
      <alignment horizontal="center" wrapText="1"/>
    </xf>
    <xf numFmtId="0" fontId="2" fillId="0" borderId="0" xfId="0" applyFont="1" applyAlignment="1">
      <alignment vertical="top" wrapText="1"/>
    </xf>
    <xf numFmtId="0" fontId="3" fillId="0" borderId="0" xfId="0" applyFont="1" applyAlignment="1">
      <alignment vertical="top" wrapText="1"/>
    </xf>
    <xf numFmtId="0" fontId="2" fillId="0" borderId="0" xfId="0" applyFont="1" applyAlignment="1">
      <alignment horizontal="center"/>
    </xf>
    <xf numFmtId="0" fontId="0" fillId="0" borderId="0" xfId="0" applyAlignment="1">
      <alignment horizontal="center"/>
    </xf>
    <xf numFmtId="0" fontId="0" fillId="0" borderId="0" xfId="0" applyAlignment="1">
      <alignment horizontal="center" vertical="top" wrapText="1"/>
    </xf>
    <xf numFmtId="0" fontId="0" fillId="0" borderId="0" xfId="0" applyAlignment="1">
      <alignment horizontal="center" vertical="center"/>
    </xf>
    <xf numFmtId="0" fontId="2" fillId="0" borderId="0" xfId="0" applyFont="1" applyAlignment="1">
      <alignment wrapText="1"/>
    </xf>
    <xf numFmtId="0" fontId="3" fillId="0" borderId="0" xfId="0" applyFont="1"/>
  </cellXfs>
  <cellStyles count="2">
    <cellStyle name="Currency" xfId="1" builtinId="4"/>
    <cellStyle name="Normal" xfId="0" builtinId="0"/>
  </cellStyles>
  <dxfs count="6">
    <dxf>
      <numFmt numFmtId="164" formatCode="_-[$$-409]* #,##0.00_ ;_-[$$-409]* \-#,##0.00\ ;_-[$$-409]* &quot;-&quot;??_ ;_-@_ "/>
    </dxf>
    <dxf>
      <numFmt numFmtId="13" formatCode="0%"/>
    </dxf>
    <dxf>
      <alignment horizontal="center" vertical="center" textRotation="0" wrapText="1" indent="0" justifyLastLine="0" shrinkToFit="0" readingOrder="0"/>
    </dxf>
    <dxf>
      <numFmt numFmtId="166" formatCode="0.0000"/>
    </dxf>
    <dxf>
      <numFmt numFmtId="166" formatCode="0.0000"/>
    </dxf>
    <dxf>
      <font>
        <b/>
        <i val="0"/>
        <strike val="0"/>
        <condense val="0"/>
        <extend val="0"/>
        <outline val="0"/>
        <shadow val="0"/>
        <u val="none"/>
        <vertAlign val="baseline"/>
        <sz val="11"/>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'3'!$H$10</c:f>
              <c:strCache>
                <c:ptCount val="1"/>
                <c:pt idx="0">
                  <c:v>NPV</c:v>
                </c:pt>
              </c:strCache>
            </c:strRef>
          </c:tx>
          <c:spPr>
            <a:ln w="28575" cap="rnd">
              <a:solidFill>
                <a:schemeClr val="accent1"/>
              </a:solidFill>
              <a:round/>
            </a:ln>
            <a:effectLst/>
          </c:spPr>
          <c:marker>
            <c:symbol val="none"/>
          </c:marker>
          <c:cat>
            <c:numRef>
              <c:f>'3'!$G$11:$G$19</c:f>
              <c:numCache>
                <c:formatCode>0.000</c:formatCode>
                <c:ptCount val="9"/>
                <c:pt idx="0">
                  <c:v>100</c:v>
                </c:pt>
                <c:pt idx="1">
                  <c:v>110</c:v>
                </c:pt>
                <c:pt idx="2">
                  <c:v>120</c:v>
                </c:pt>
                <c:pt idx="3">
                  <c:v>129.2852</c:v>
                </c:pt>
                <c:pt idx="4">
                  <c:v>129.29</c:v>
                </c:pt>
                <c:pt idx="5">
                  <c:v>129.30000000000001</c:v>
                </c:pt>
                <c:pt idx="6">
                  <c:v>130</c:v>
                </c:pt>
                <c:pt idx="7" formatCode="General">
                  <c:v>140</c:v>
                </c:pt>
                <c:pt idx="8" formatCode="General">
                  <c:v>150</c:v>
                </c:pt>
              </c:numCache>
            </c:numRef>
          </c:cat>
          <c:val>
            <c:numRef>
              <c:f>'3'!$H$11:$H$19</c:f>
              <c:numCache>
                <c:formatCode>0.000</c:formatCode>
                <c:ptCount val="9"/>
                <c:pt idx="0">
                  <c:v>-226.51619918467293</c:v>
                </c:pt>
                <c:pt idx="1">
                  <c:v>-149.16781910314023</c:v>
                </c:pt>
                <c:pt idx="2">
                  <c:v>-71.819439021607536</c:v>
                </c:pt>
                <c:pt idx="3">
                  <c:v>7.8851697253412567E-5</c:v>
                </c:pt>
                <c:pt idx="4" formatCode="0.0000">
                  <c:v>3.7206074136292955E-2</c:v>
                </c:pt>
                <c:pt idx="5">
                  <c:v>0.11455445421802324</c:v>
                </c:pt>
                <c:pt idx="6">
                  <c:v>5.5289410599250459</c:v>
                </c:pt>
                <c:pt idx="7" formatCode="0.0000">
                  <c:v>82.877321141457742</c:v>
                </c:pt>
                <c:pt idx="8" formatCode="0.0000">
                  <c:v>160.22570122299044</c:v>
                </c:pt>
              </c:numCache>
            </c:numRef>
          </c:val>
          <c:smooth val="0"/>
          <c:extLst>
            <c:ext xmlns:c16="http://schemas.microsoft.com/office/drawing/2014/chart" uri="{C3380CC4-5D6E-409C-BE32-E72D297353CC}">
              <c16:uniqueId val="{00000000-9BC1-45D7-BA01-EB2F37D89815}"/>
            </c:ext>
          </c:extLst>
        </c:ser>
        <c:dLbls>
          <c:showLegendKey val="0"/>
          <c:showVal val="0"/>
          <c:showCatName val="0"/>
          <c:showSerName val="0"/>
          <c:showPercent val="0"/>
          <c:showBubbleSize val="0"/>
        </c:dLbls>
        <c:smooth val="0"/>
        <c:axId val="2083855183"/>
        <c:axId val="2083852303"/>
      </c:lineChart>
      <c:catAx>
        <c:axId val="2083855183"/>
        <c:scaling>
          <c:orientation val="minMax"/>
        </c:scaling>
        <c:delete val="0"/>
        <c:axPos val="b"/>
        <c:numFmt formatCode="0.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52303"/>
        <c:crosses val="autoZero"/>
        <c:auto val="1"/>
        <c:lblAlgn val="ctr"/>
        <c:lblOffset val="100"/>
        <c:noMultiLvlLbl val="0"/>
      </c:catAx>
      <c:valAx>
        <c:axId val="2083852303"/>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551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'4'!$F$3</c:f>
              <c:strCache>
                <c:ptCount val="1"/>
                <c:pt idx="0">
                  <c:v>NPV</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'4'!$E$4:$E$14</c:f>
              <c:numCache>
                <c:formatCode>0%</c:formatCode>
                <c:ptCount val="11"/>
                <c:pt idx="0">
                  <c:v>0.05</c:v>
                </c:pt>
                <c:pt idx="1">
                  <c:v>0.1</c:v>
                </c:pt>
                <c:pt idx="2">
                  <c:v>0.2</c:v>
                </c:pt>
                <c:pt idx="3">
                  <c:v>0.30000000000000004</c:v>
                </c:pt>
                <c:pt idx="4">
                  <c:v>0.4</c:v>
                </c:pt>
                <c:pt idx="5">
                  <c:v>0.5</c:v>
                </c:pt>
                <c:pt idx="6">
                  <c:v>0.6</c:v>
                </c:pt>
                <c:pt idx="7">
                  <c:v>0.7</c:v>
                </c:pt>
                <c:pt idx="8">
                  <c:v>0.79999999999999993</c:v>
                </c:pt>
                <c:pt idx="9">
                  <c:v>0.89999999999999991</c:v>
                </c:pt>
                <c:pt idx="10">
                  <c:v>0.99999999999999989</c:v>
                </c:pt>
              </c:numCache>
            </c:numRef>
          </c:xVal>
          <c:yVal>
            <c:numRef>
              <c:f>'4'!$F$4:$F$14</c:f>
              <c:numCache>
                <c:formatCode>_-[$$-409]* #,##0.00_ ;_-[$$-409]* \-#,##0.00\ ;_-[$$-409]* "-"??_ ;_-@_ </c:formatCode>
                <c:ptCount val="11"/>
                <c:pt idx="0">
                  <c:v>-16.296976984653327</c:v>
                </c:pt>
                <c:pt idx="1">
                  <c:v>34.464238036398569</c:v>
                </c:pt>
                <c:pt idx="2">
                  <c:v>76.51748971193399</c:v>
                </c:pt>
                <c:pt idx="3">
                  <c:v>76.299580115973072</c:v>
                </c:pt>
                <c:pt idx="4">
                  <c:v>57.089308026417598</c:v>
                </c:pt>
                <c:pt idx="5">
                  <c:v>30.041152263374556</c:v>
                </c:pt>
                <c:pt idx="6">
                  <c:v>0.579833984375</c:v>
                </c:pt>
                <c:pt idx="7">
                  <c:v>-28.673662206827885</c:v>
                </c:pt>
                <c:pt idx="8">
                  <c:v>-56.503920472827588</c:v>
                </c:pt>
                <c:pt idx="9">
                  <c:v>-82.409265542290484</c:v>
                </c:pt>
                <c:pt idx="10">
                  <c:v>-106.25</c:v>
                </c:pt>
              </c:numCache>
            </c:numRef>
          </c:yVal>
          <c:smooth val="0"/>
          <c:extLst>
            <c:ext xmlns:c16="http://schemas.microsoft.com/office/drawing/2014/chart" uri="{C3380CC4-5D6E-409C-BE32-E72D297353CC}">
              <c16:uniqueId val="{00000000-6A2A-4AF1-B515-707CE0C67EE6}"/>
            </c:ext>
          </c:extLst>
        </c:ser>
        <c:dLbls>
          <c:showLegendKey val="0"/>
          <c:showVal val="0"/>
          <c:showCatName val="0"/>
          <c:showSerName val="0"/>
          <c:showPercent val="0"/>
          <c:showBubbleSize val="0"/>
        </c:dLbls>
        <c:axId val="2083870543"/>
        <c:axId val="2083851823"/>
      </c:scatterChart>
      <c:valAx>
        <c:axId val="2083870543"/>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51823"/>
        <c:crosses val="autoZero"/>
        <c:crossBetween val="midCat"/>
      </c:valAx>
      <c:valAx>
        <c:axId val="2083851823"/>
        <c:scaling>
          <c:orientation val="minMax"/>
        </c:scaling>
        <c:delete val="0"/>
        <c:axPos val="l"/>
        <c:majorGridlines>
          <c:spPr>
            <a:ln w="9525" cap="flat" cmpd="sng" algn="ctr">
              <a:solidFill>
                <a:schemeClr val="tx1">
                  <a:lumMod val="15000"/>
                  <a:lumOff val="85000"/>
                </a:schemeClr>
              </a:solidFill>
              <a:round/>
            </a:ln>
            <a:effectLst/>
          </c:spPr>
        </c:majorGridlines>
        <c:numFmt formatCode="_-[$$-409]* #,##0.00_ ;_-[$$-409]* \-#,##0.00\ ;_-[$$-409]* &quot;-&quot;??_ ;_-@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3870543"/>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19049</xdr:colOff>
      <xdr:row>16</xdr:row>
      <xdr:rowOff>23812</xdr:rowOff>
    </xdr:from>
    <xdr:to>
      <xdr:col>11</xdr:col>
      <xdr:colOff>9525</xdr:colOff>
      <xdr:row>28</xdr:row>
      <xdr:rowOff>152400</xdr:rowOff>
    </xdr:to>
    <xdr:graphicFrame macro="">
      <xdr:nvGraphicFramePr>
        <xdr:cNvPr id="2" name="Chart 1">
          <a:extLst>
            <a:ext uri="{FF2B5EF4-FFF2-40B4-BE49-F238E27FC236}">
              <a16:creationId xmlns:a16="http://schemas.microsoft.com/office/drawing/2014/main" id="{65196B12-F166-9798-2E07-373F5C6AE7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100012</xdr:colOff>
      <xdr:row>1</xdr:row>
      <xdr:rowOff>185737</xdr:rowOff>
    </xdr:from>
    <xdr:to>
      <xdr:col>13</xdr:col>
      <xdr:colOff>404812</xdr:colOff>
      <xdr:row>15</xdr:row>
      <xdr:rowOff>71437</xdr:rowOff>
    </xdr:to>
    <xdr:graphicFrame macro="">
      <xdr:nvGraphicFramePr>
        <xdr:cNvPr id="2" name="Chart 1">
          <a:extLst>
            <a:ext uri="{FF2B5EF4-FFF2-40B4-BE49-F238E27FC236}">
              <a16:creationId xmlns:a16="http://schemas.microsoft.com/office/drawing/2014/main" id="{266F6AFD-B7DB-F9F7-445D-EF43325787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485775</xdr:colOff>
      <xdr:row>69</xdr:row>
      <xdr:rowOff>381000</xdr:rowOff>
    </xdr:from>
    <xdr:to>
      <xdr:col>8</xdr:col>
      <xdr:colOff>28575</xdr:colOff>
      <xdr:row>70</xdr:row>
      <xdr:rowOff>476250</xdr:rowOff>
    </xdr:to>
    <xdr:cxnSp macro="">
      <xdr:nvCxnSpPr>
        <xdr:cNvPr id="3" name="Straight Arrow Connector 2">
          <a:extLst>
            <a:ext uri="{FF2B5EF4-FFF2-40B4-BE49-F238E27FC236}">
              <a16:creationId xmlns:a16="http://schemas.microsoft.com/office/drawing/2014/main" id="{02FF9C0E-2978-A81F-551B-7406AD41E9C9}"/>
            </a:ext>
          </a:extLst>
        </xdr:cNvPr>
        <xdr:cNvCxnSpPr/>
      </xdr:nvCxnSpPr>
      <xdr:spPr>
        <a:xfrm flipH="1">
          <a:off x="6324600" y="15020925"/>
          <a:ext cx="1714500" cy="6000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581025</xdr:colOff>
      <xdr:row>70</xdr:row>
      <xdr:rowOff>390525</xdr:rowOff>
    </xdr:from>
    <xdr:to>
      <xdr:col>7</xdr:col>
      <xdr:colOff>542925</xdr:colOff>
      <xdr:row>71</xdr:row>
      <xdr:rowOff>28575</xdr:rowOff>
    </xdr:to>
    <xdr:cxnSp macro="">
      <xdr:nvCxnSpPr>
        <xdr:cNvPr id="7" name="Straight Arrow Connector 6">
          <a:extLst>
            <a:ext uri="{FF2B5EF4-FFF2-40B4-BE49-F238E27FC236}">
              <a16:creationId xmlns:a16="http://schemas.microsoft.com/office/drawing/2014/main" id="{F3079E3A-FDB9-46AE-8781-43D6826589AD}"/>
            </a:ext>
          </a:extLst>
        </xdr:cNvPr>
        <xdr:cNvCxnSpPr/>
      </xdr:nvCxnSpPr>
      <xdr:spPr>
        <a:xfrm flipH="1">
          <a:off x="7219950" y="15535275"/>
          <a:ext cx="723900" cy="2095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800100</xdr:colOff>
      <xdr:row>15</xdr:row>
      <xdr:rowOff>381000</xdr:rowOff>
    </xdr:from>
    <xdr:to>
      <xdr:col>6</xdr:col>
      <xdr:colOff>85725</xdr:colOff>
      <xdr:row>16</xdr:row>
      <xdr:rowOff>76200</xdr:rowOff>
    </xdr:to>
    <xdr:cxnSp macro="">
      <xdr:nvCxnSpPr>
        <xdr:cNvPr id="4" name="Straight Arrow Connector 3">
          <a:extLst>
            <a:ext uri="{FF2B5EF4-FFF2-40B4-BE49-F238E27FC236}">
              <a16:creationId xmlns:a16="http://schemas.microsoft.com/office/drawing/2014/main" id="{39921B06-C508-A623-2DBE-C5598DA1024E}"/>
            </a:ext>
          </a:extLst>
        </xdr:cNvPr>
        <xdr:cNvCxnSpPr/>
      </xdr:nvCxnSpPr>
      <xdr:spPr>
        <a:xfrm flipH="1">
          <a:off x="4629150" y="4400550"/>
          <a:ext cx="2095500" cy="2190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457200</xdr:colOff>
      <xdr:row>21</xdr:row>
      <xdr:rowOff>400050</xdr:rowOff>
    </xdr:from>
    <xdr:to>
      <xdr:col>10</xdr:col>
      <xdr:colOff>247650</xdr:colOff>
      <xdr:row>22</xdr:row>
      <xdr:rowOff>180975</xdr:rowOff>
    </xdr:to>
    <xdr:cxnSp macro="">
      <xdr:nvCxnSpPr>
        <xdr:cNvPr id="3" name="Straight Arrow Connector 2">
          <a:extLst>
            <a:ext uri="{FF2B5EF4-FFF2-40B4-BE49-F238E27FC236}">
              <a16:creationId xmlns:a16="http://schemas.microsoft.com/office/drawing/2014/main" id="{E332077D-DB27-F643-6389-84D917A55177}"/>
            </a:ext>
          </a:extLst>
        </xdr:cNvPr>
        <xdr:cNvCxnSpPr/>
      </xdr:nvCxnSpPr>
      <xdr:spPr>
        <a:xfrm flipH="1">
          <a:off x="7458075" y="5229225"/>
          <a:ext cx="222885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F9535C0-310C-4B75-BA24-A7716069A5F5}" name="Table1" displayName="Table1" ref="G10:I19" totalsRowShown="0" headerRowDxfId="5">
  <autoFilter ref="G10:I19" xr:uid="{0F9535C0-310C-4B75-BA24-A7716069A5F5}"/>
  <tableColumns count="3">
    <tableColumn id="1" xr3:uid="{11111C7B-18DC-495C-B88F-E3AD60F9CC96}" name="X"/>
    <tableColumn id="3" xr3:uid="{02E1A996-F1A8-4B16-BC22-F1699203BD50}" name="NPV" dataDxfId="4">
      <calculatedColumnFormula>I11-$B$6</calculatedColumnFormula>
    </tableColumn>
    <tableColumn id="4" xr3:uid="{3D7E2580-33A3-4F00-8ABE-BADE65807287}" name="PV" dataDxfId="3">
      <calculatedColumnFormula>(G11/($B$7-$B$10))*(1-((1+$B$10)/(1+$B$7))^11)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A232ED7-26F5-4C45-93C2-6F9429C1E529}" name="Table2" displayName="Table2" ref="E3:F14" totalsRowShown="0" headerRowDxfId="2">
  <autoFilter ref="E3:F14" xr:uid="{3A232ED7-26F5-4C45-93C2-6F9429C1E529}"/>
  <tableColumns count="2">
    <tableColumn id="1" xr3:uid="{7B9C53C0-F077-4109-A968-E43ECF6D79FB}" name="Discount rate" dataDxfId="1">
      <calculatedColumnFormula>E3+0.1</calculatedColumnFormula>
    </tableColumn>
    <tableColumn id="2" xr3:uid="{363462E1-70D8-4E7D-BDA3-27DAA245E13E}" name="NPV" dataDxfId="0">
      <calculatedColumnFormula>$B$4+NPV(E4,$B$5:$B$9)</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6915BC-F388-4568-AC04-24B215B1DEA6}">
  <sheetPr codeName="Sheet1"/>
  <dimension ref="A1:H40"/>
  <sheetViews>
    <sheetView workbookViewId="0">
      <selection activeCell="E31" sqref="E31"/>
    </sheetView>
  </sheetViews>
  <sheetFormatPr defaultRowHeight="15" x14ac:dyDescent="0.25"/>
  <cols>
    <col min="1" max="1" width="18.5703125" customWidth="1"/>
    <col min="2" max="2" width="25.28515625" customWidth="1"/>
    <col min="3" max="3" width="13.85546875" customWidth="1"/>
    <col min="4" max="4" width="15.5703125" customWidth="1"/>
    <col min="5" max="5" width="17.140625" customWidth="1"/>
  </cols>
  <sheetData>
    <row r="1" spans="1:8" ht="31.5" customHeight="1" x14ac:dyDescent="0.25">
      <c r="A1" s="28" t="s">
        <v>0</v>
      </c>
      <c r="B1" s="29"/>
      <c r="C1" s="29"/>
      <c r="D1" s="29"/>
      <c r="E1" s="29"/>
      <c r="F1" s="29"/>
    </row>
    <row r="2" spans="1:8" x14ac:dyDescent="0.25">
      <c r="A2" s="30" t="s">
        <v>1</v>
      </c>
      <c r="B2" s="30"/>
      <c r="C2" s="30"/>
      <c r="D2" s="30"/>
      <c r="E2" s="30"/>
      <c r="F2" s="30"/>
      <c r="G2" s="30"/>
      <c r="H2" s="30"/>
    </row>
    <row r="4" spans="1:8" x14ac:dyDescent="0.25">
      <c r="A4" t="s">
        <v>3</v>
      </c>
      <c r="B4">
        <v>-600</v>
      </c>
    </row>
    <row r="5" spans="1:8" x14ac:dyDescent="0.25">
      <c r="A5" t="s">
        <v>4</v>
      </c>
      <c r="B5">
        <v>10</v>
      </c>
    </row>
    <row r="6" spans="1:8" x14ac:dyDescent="0.25">
      <c r="A6" t="s">
        <v>6</v>
      </c>
      <c r="B6">
        <v>100</v>
      </c>
    </row>
    <row r="7" spans="1:8" x14ac:dyDescent="0.25">
      <c r="A7" t="s">
        <v>5</v>
      </c>
      <c r="B7" s="1">
        <v>0.08</v>
      </c>
    </row>
    <row r="8" spans="1:8" x14ac:dyDescent="0.25">
      <c r="A8" t="s">
        <v>2</v>
      </c>
      <c r="B8" s="3">
        <f>PV(B7,B5,-B6)+B4</f>
        <v>71.00813989414462</v>
      </c>
      <c r="C8" t="str" cm="1">
        <f t="array" aca="1" ref="C8" ca="1">getformula(B8)</f>
        <v>&lt;-- =PV(B7,B5,-B6)+B4</v>
      </c>
    </row>
    <row r="9" spans="1:8" x14ac:dyDescent="0.25">
      <c r="A9" s="31" t="s">
        <v>7</v>
      </c>
      <c r="B9" s="31"/>
      <c r="C9" s="31"/>
      <c r="D9" s="31"/>
      <c r="E9" s="31"/>
      <c r="F9" s="31"/>
    </row>
    <row r="11" spans="1:8" x14ac:dyDescent="0.25">
      <c r="A11" s="8" t="s">
        <v>8</v>
      </c>
      <c r="B11" s="8" t="s">
        <v>6</v>
      </c>
    </row>
    <row r="12" spans="1:8" x14ac:dyDescent="0.25">
      <c r="A12" s="5">
        <v>0</v>
      </c>
      <c r="B12">
        <v>-600</v>
      </c>
    </row>
    <row r="13" spans="1:8" x14ac:dyDescent="0.25">
      <c r="A13" s="5">
        <v>1</v>
      </c>
      <c r="B13">
        <v>100</v>
      </c>
    </row>
    <row r="14" spans="1:8" x14ac:dyDescent="0.25">
      <c r="A14" s="5">
        <v>2</v>
      </c>
      <c r="B14">
        <v>100</v>
      </c>
    </row>
    <row r="15" spans="1:8" x14ac:dyDescent="0.25">
      <c r="A15" s="5">
        <v>3</v>
      </c>
      <c r="B15">
        <v>100</v>
      </c>
    </row>
    <row r="16" spans="1:8" x14ac:dyDescent="0.25">
      <c r="A16" s="5">
        <v>4</v>
      </c>
      <c r="B16">
        <v>100</v>
      </c>
    </row>
    <row r="17" spans="1:6" x14ac:dyDescent="0.25">
      <c r="A17" s="5">
        <v>5</v>
      </c>
      <c r="B17">
        <v>100</v>
      </c>
    </row>
    <row r="18" spans="1:6" x14ac:dyDescent="0.25">
      <c r="A18" s="5">
        <v>6</v>
      </c>
      <c r="B18">
        <v>100</v>
      </c>
    </row>
    <row r="19" spans="1:6" x14ac:dyDescent="0.25">
      <c r="A19" s="5">
        <v>7</v>
      </c>
      <c r="B19">
        <v>100</v>
      </c>
    </row>
    <row r="20" spans="1:6" x14ac:dyDescent="0.25">
      <c r="A20" s="5">
        <v>8</v>
      </c>
      <c r="B20">
        <v>100</v>
      </c>
    </row>
    <row r="21" spans="1:6" x14ac:dyDescent="0.25">
      <c r="A21" s="5">
        <v>9</v>
      </c>
      <c r="B21">
        <v>100</v>
      </c>
    </row>
    <row r="22" spans="1:6" x14ac:dyDescent="0.25">
      <c r="A22" s="5">
        <v>10</v>
      </c>
      <c r="B22">
        <v>100</v>
      </c>
    </row>
    <row r="23" spans="1:6" x14ac:dyDescent="0.25">
      <c r="A23" t="s">
        <v>2</v>
      </c>
      <c r="B23" s="4">
        <f>B12+NPV(B7,B13:B22)</f>
        <v>71.008139894144165</v>
      </c>
      <c r="C23" t="str" cm="1">
        <f t="array" aca="1" ref="C23" ca="1">getformula(B23)</f>
        <v>&lt;-- =B12+NPV(B7,B13:B22)</v>
      </c>
    </row>
    <row r="26" spans="1:6" x14ac:dyDescent="0.25">
      <c r="A26" s="32" t="s">
        <v>9</v>
      </c>
      <c r="B26" s="29"/>
      <c r="C26" s="29"/>
      <c r="D26" s="29"/>
      <c r="E26" s="29"/>
      <c r="F26" s="29"/>
    </row>
    <row r="27" spans="1:6" x14ac:dyDescent="0.25">
      <c r="A27" t="s">
        <v>10</v>
      </c>
      <c r="B27" s="7">
        <f>IRR(B12:B22)</f>
        <v>0.10557981604988731</v>
      </c>
    </row>
    <row r="28" spans="1:6" x14ac:dyDescent="0.25">
      <c r="A28" s="31" t="s">
        <v>15</v>
      </c>
      <c r="B28" s="31"/>
      <c r="C28" s="31"/>
      <c r="D28" s="31"/>
      <c r="E28" s="31"/>
      <c r="F28" s="31"/>
    </row>
    <row r="30" spans="1:6" ht="32.25" customHeight="1" x14ac:dyDescent="0.25">
      <c r="A30" s="8" t="s">
        <v>8</v>
      </c>
      <c r="B30" s="9" t="s">
        <v>11</v>
      </c>
      <c r="C30" s="9" t="s">
        <v>12</v>
      </c>
      <c r="D30" s="9" t="s">
        <v>13</v>
      </c>
      <c r="E30" s="9" t="s">
        <v>14</v>
      </c>
    </row>
    <row r="31" spans="1:6" x14ac:dyDescent="0.25">
      <c r="A31" s="5">
        <v>1</v>
      </c>
      <c r="B31" s="6">
        <f>-$B$12</f>
        <v>600</v>
      </c>
      <c r="C31" s="6">
        <f>$B$27*B31</f>
        <v>63.347889629932382</v>
      </c>
      <c r="D31" s="6">
        <f>$B$6</f>
        <v>100</v>
      </c>
      <c r="E31" s="6">
        <f>B31+C31-D31</f>
        <v>563.34788962993241</v>
      </c>
    </row>
    <row r="32" spans="1:6" x14ac:dyDescent="0.25">
      <c r="A32" s="5">
        <v>2</v>
      </c>
      <c r="B32" s="6">
        <f>E31</f>
        <v>563.34788962993241</v>
      </c>
      <c r="C32" s="6">
        <f>$B$27*B32</f>
        <v>59.478166559220483</v>
      </c>
      <c r="D32" s="6">
        <f t="shared" ref="D32:D40" si="0">$B$6</f>
        <v>100</v>
      </c>
      <c r="E32" s="6">
        <f t="shared" ref="E32:E40" si="1">B32+C32-D32</f>
        <v>522.82605618915295</v>
      </c>
    </row>
    <row r="33" spans="1:5" x14ac:dyDescent="0.25">
      <c r="A33" s="5">
        <v>3</v>
      </c>
      <c r="B33" s="6">
        <f t="shared" ref="B33:B40" si="2">E32</f>
        <v>522.82605618915295</v>
      </c>
      <c r="C33" s="6">
        <f t="shared" ref="C33:C40" si="3">$B$27*B33</f>
        <v>55.199878838538815</v>
      </c>
      <c r="D33" s="6">
        <f t="shared" si="0"/>
        <v>100</v>
      </c>
      <c r="E33" s="6">
        <f t="shared" si="1"/>
        <v>478.02593502769173</v>
      </c>
    </row>
    <row r="34" spans="1:5" x14ac:dyDescent="0.25">
      <c r="A34" s="5">
        <v>4</v>
      </c>
      <c r="B34" s="6">
        <f t="shared" si="2"/>
        <v>478.02593502769173</v>
      </c>
      <c r="C34" s="6">
        <f t="shared" si="3"/>
        <v>50.469890287299073</v>
      </c>
      <c r="D34" s="6">
        <f t="shared" si="0"/>
        <v>100</v>
      </c>
      <c r="E34" s="6">
        <f t="shared" si="1"/>
        <v>428.49582531499084</v>
      </c>
    </row>
    <row r="35" spans="1:5" x14ac:dyDescent="0.25">
      <c r="A35" s="5">
        <v>5</v>
      </c>
      <c r="B35" s="6">
        <f t="shared" si="2"/>
        <v>428.49582531499084</v>
      </c>
      <c r="C35" s="6">
        <f t="shared" si="3"/>
        <v>45.240510414901379</v>
      </c>
      <c r="D35" s="6">
        <f t="shared" si="0"/>
        <v>100</v>
      </c>
      <c r="E35" s="6">
        <f t="shared" si="1"/>
        <v>373.73633572989223</v>
      </c>
    </row>
    <row r="36" spans="1:5" x14ac:dyDescent="0.25">
      <c r="A36" s="5">
        <v>6</v>
      </c>
      <c r="B36" s="6">
        <f t="shared" si="2"/>
        <v>373.73633572989223</v>
      </c>
      <c r="C36" s="6">
        <f t="shared" si="3"/>
        <v>39.459013577520949</v>
      </c>
      <c r="D36" s="6">
        <f t="shared" si="0"/>
        <v>100</v>
      </c>
      <c r="E36" s="6">
        <f t="shared" si="1"/>
        <v>313.19534930741315</v>
      </c>
    </row>
    <row r="37" spans="1:5" x14ac:dyDescent="0.25">
      <c r="A37" s="5">
        <v>7</v>
      </c>
      <c r="B37" s="6">
        <f t="shared" si="2"/>
        <v>313.19534930741315</v>
      </c>
      <c r="C37" s="6">
        <f t="shared" si="3"/>
        <v>33.067107367556879</v>
      </c>
      <c r="D37" s="6">
        <f t="shared" si="0"/>
        <v>100</v>
      </c>
      <c r="E37" s="6">
        <f t="shared" si="1"/>
        <v>246.26245667497005</v>
      </c>
    </row>
    <row r="38" spans="1:5" x14ac:dyDescent="0.25">
      <c r="A38" s="5">
        <v>8</v>
      </c>
      <c r="B38" s="6">
        <f t="shared" si="2"/>
        <v>246.26245667497005</v>
      </c>
      <c r="C38" s="6">
        <f t="shared" si="3"/>
        <v>26.00034487573668</v>
      </c>
      <c r="D38" s="6">
        <f t="shared" si="0"/>
        <v>100</v>
      </c>
      <c r="E38" s="6">
        <f t="shared" si="1"/>
        <v>172.26280155070674</v>
      </c>
    </row>
    <row r="39" spans="1:5" x14ac:dyDescent="0.25">
      <c r="A39" s="5">
        <v>9</v>
      </c>
      <c r="B39" s="6">
        <f t="shared" si="2"/>
        <v>172.26280155070674</v>
      </c>
      <c r="C39" s="6">
        <f t="shared" si="3"/>
        <v>18.18747489996186</v>
      </c>
      <c r="D39" s="6">
        <f t="shared" si="0"/>
        <v>100</v>
      </c>
      <c r="E39" s="6">
        <f t="shared" si="1"/>
        <v>90.450276450668611</v>
      </c>
    </row>
    <row r="40" spans="1:5" x14ac:dyDescent="0.25">
      <c r="A40" s="5">
        <v>10</v>
      </c>
      <c r="B40" s="6">
        <f t="shared" si="2"/>
        <v>90.450276450668611</v>
      </c>
      <c r="C40" s="6">
        <f t="shared" si="3"/>
        <v>9.5497235493230459</v>
      </c>
      <c r="D40" s="6">
        <f t="shared" si="0"/>
        <v>100</v>
      </c>
      <c r="E40" s="6">
        <f t="shared" si="1"/>
        <v>-8.3417717178235762E-12</v>
      </c>
    </row>
  </sheetData>
  <mergeCells count="5">
    <mergeCell ref="A1:F1"/>
    <mergeCell ref="A2:H2"/>
    <mergeCell ref="A9:F9"/>
    <mergeCell ref="A26:F26"/>
    <mergeCell ref="A28:F2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8AF21-6F80-47F3-BF0C-573524096757}">
  <sheetPr codeName="Sheet2"/>
  <dimension ref="A1:H15"/>
  <sheetViews>
    <sheetView topLeftCell="A10" workbookViewId="0">
      <selection activeCell="B12" sqref="B12"/>
    </sheetView>
  </sheetViews>
  <sheetFormatPr defaultRowHeight="15" x14ac:dyDescent="0.25"/>
  <cols>
    <col min="1" max="1" width="17.140625" customWidth="1"/>
    <col min="2" max="2" width="19.5703125" customWidth="1"/>
    <col min="3" max="3" width="14.85546875" customWidth="1"/>
    <col min="4" max="4" width="18.7109375" customWidth="1"/>
    <col min="5" max="5" width="15.140625" customWidth="1"/>
  </cols>
  <sheetData>
    <row r="1" spans="1:8" ht="33" customHeight="1" x14ac:dyDescent="0.25">
      <c r="A1" s="28" t="s">
        <v>16</v>
      </c>
      <c r="B1" s="28"/>
      <c r="C1" s="28"/>
      <c r="D1" s="28"/>
      <c r="E1" s="28"/>
      <c r="F1" s="28"/>
      <c r="G1" s="28"/>
      <c r="H1" s="28"/>
    </row>
    <row r="2" spans="1:8" ht="31.5" customHeight="1" x14ac:dyDescent="0.25">
      <c r="A2" s="28"/>
      <c r="B2" s="28"/>
      <c r="C2" s="28"/>
      <c r="D2" s="28"/>
      <c r="E2" s="28"/>
      <c r="F2" s="28"/>
      <c r="G2" s="28"/>
      <c r="H2" s="28"/>
    </row>
    <row r="4" spans="1:8" x14ac:dyDescent="0.25">
      <c r="A4" t="s">
        <v>22</v>
      </c>
      <c r="B4" s="10">
        <v>10000</v>
      </c>
    </row>
    <row r="5" spans="1:8" x14ac:dyDescent="0.25">
      <c r="A5" t="s">
        <v>23</v>
      </c>
      <c r="B5">
        <v>5</v>
      </c>
    </row>
    <row r="6" spans="1:8" x14ac:dyDescent="0.25">
      <c r="A6" t="s">
        <v>24</v>
      </c>
      <c r="B6" s="1">
        <v>0.15</v>
      </c>
    </row>
    <row r="7" spans="1:8" x14ac:dyDescent="0.25">
      <c r="A7" t="s">
        <v>25</v>
      </c>
      <c r="B7" s="3">
        <f>PMT(B6,B5,-B4)</f>
        <v>2983.1555246152834</v>
      </c>
    </row>
    <row r="8" spans="1:8" x14ac:dyDescent="0.25">
      <c r="D8" s="33" t="s">
        <v>21</v>
      </c>
      <c r="E8" s="33"/>
    </row>
    <row r="9" spans="1:8" ht="34.5" customHeight="1" x14ac:dyDescent="0.25">
      <c r="A9" s="11" t="s">
        <v>8</v>
      </c>
      <c r="B9" s="9" t="s">
        <v>17</v>
      </c>
      <c r="C9" s="9" t="s">
        <v>18</v>
      </c>
      <c r="D9" s="9" t="s">
        <v>19</v>
      </c>
      <c r="E9" s="9" t="s">
        <v>20</v>
      </c>
    </row>
    <row r="10" spans="1:8" x14ac:dyDescent="0.25">
      <c r="A10" s="5">
        <v>1</v>
      </c>
      <c r="B10" s="3">
        <f>B4</f>
        <v>10000</v>
      </c>
      <c r="C10" s="3">
        <f>$B$7</f>
        <v>2983.1555246152834</v>
      </c>
      <c r="D10" s="3">
        <f>$B$6*B10</f>
        <v>1500</v>
      </c>
      <c r="E10" s="3">
        <f>C10-D10</f>
        <v>1483.1555246152834</v>
      </c>
    </row>
    <row r="11" spans="1:8" x14ac:dyDescent="0.25">
      <c r="A11" s="5">
        <v>2</v>
      </c>
      <c r="B11" s="3">
        <f>B10-E10</f>
        <v>8516.8444753847161</v>
      </c>
      <c r="C11" s="3">
        <f t="shared" ref="C11:C14" si="0">$B$7</f>
        <v>2983.1555246152834</v>
      </c>
      <c r="D11" s="3">
        <f t="shared" ref="D11:D14" si="1">$B$6*B11</f>
        <v>1277.5266713077074</v>
      </c>
      <c r="E11" s="3">
        <f t="shared" ref="E11:E14" si="2">C11-D11</f>
        <v>1705.628853307576</v>
      </c>
    </row>
    <row r="12" spans="1:8" x14ac:dyDescent="0.25">
      <c r="A12" s="5">
        <v>3</v>
      </c>
      <c r="B12" s="3">
        <f t="shared" ref="B12:B15" si="3">B11-E11</f>
        <v>6811.2156220771403</v>
      </c>
      <c r="C12" s="3">
        <f t="shared" si="0"/>
        <v>2983.1555246152834</v>
      </c>
      <c r="D12" s="3">
        <f t="shared" si="1"/>
        <v>1021.682343311571</v>
      </c>
      <c r="E12" s="3">
        <f t="shared" si="2"/>
        <v>1961.4731813037124</v>
      </c>
    </row>
    <row r="13" spans="1:8" x14ac:dyDescent="0.25">
      <c r="A13" s="5">
        <v>4</v>
      </c>
      <c r="B13" s="3">
        <f t="shared" si="3"/>
        <v>4849.7424407734279</v>
      </c>
      <c r="C13" s="3">
        <f t="shared" si="0"/>
        <v>2983.1555246152834</v>
      </c>
      <c r="D13" s="3">
        <f t="shared" si="1"/>
        <v>727.46136611601412</v>
      </c>
      <c r="E13" s="3">
        <f t="shared" si="2"/>
        <v>2255.6941584992692</v>
      </c>
    </row>
    <row r="14" spans="1:8" x14ac:dyDescent="0.25">
      <c r="A14" s="5">
        <v>5</v>
      </c>
      <c r="B14" s="3">
        <f t="shared" si="3"/>
        <v>2594.0482822741587</v>
      </c>
      <c r="C14" s="3">
        <f t="shared" si="0"/>
        <v>2983.1555246152834</v>
      </c>
      <c r="D14" s="3">
        <f t="shared" si="1"/>
        <v>389.10724234112382</v>
      </c>
      <c r="E14" s="3">
        <f t="shared" si="2"/>
        <v>2594.0482822741596</v>
      </c>
    </row>
    <row r="15" spans="1:8" x14ac:dyDescent="0.25">
      <c r="A15" s="5">
        <v>6</v>
      </c>
      <c r="B15" s="6">
        <f t="shared" si="3"/>
        <v>0</v>
      </c>
    </row>
  </sheetData>
  <mergeCells count="2">
    <mergeCell ref="A1:H2"/>
    <mergeCell ref="D8:E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A7F52-58D9-462C-8ACE-82EF66C6F195}">
  <sheetPr codeName="Sheet3"/>
  <dimension ref="A1:I31"/>
  <sheetViews>
    <sheetView topLeftCell="A16" workbookViewId="0">
      <selection activeCell="J14" sqref="J14"/>
    </sheetView>
  </sheetViews>
  <sheetFormatPr defaultRowHeight="15" x14ac:dyDescent="0.25"/>
  <cols>
    <col min="1" max="1" width="21" customWidth="1"/>
    <col min="2" max="2" width="20.140625" bestFit="1" customWidth="1"/>
    <col min="8" max="8" width="12.85546875" customWidth="1"/>
    <col min="9" max="9" width="11.7109375" customWidth="1"/>
  </cols>
  <sheetData>
    <row r="1" spans="1:9" x14ac:dyDescent="0.25">
      <c r="A1" s="28" t="s">
        <v>26</v>
      </c>
      <c r="B1" s="28"/>
      <c r="C1" s="28"/>
      <c r="D1" s="28"/>
      <c r="E1" s="28"/>
    </row>
    <row r="2" spans="1:9" x14ac:dyDescent="0.25">
      <c r="A2" s="32" t="s">
        <v>27</v>
      </c>
      <c r="B2" s="32"/>
      <c r="C2" s="32"/>
      <c r="D2" s="32"/>
      <c r="E2" s="32"/>
    </row>
    <row r="3" spans="1:9" ht="33" customHeight="1" x14ac:dyDescent="0.25">
      <c r="A3" s="32" t="s">
        <v>28</v>
      </c>
      <c r="B3" s="32"/>
      <c r="C3" s="32"/>
      <c r="D3" s="32"/>
      <c r="E3" s="32"/>
    </row>
    <row r="4" spans="1:9" ht="49.5" customHeight="1" x14ac:dyDescent="0.25">
      <c r="A4" s="28" t="s">
        <v>29</v>
      </c>
      <c r="B4" s="28"/>
      <c r="C4" s="28"/>
      <c r="D4" s="28"/>
      <c r="E4" s="28"/>
    </row>
    <row r="5" spans="1:9" x14ac:dyDescent="0.25">
      <c r="A5" s="2"/>
    </row>
    <row r="6" spans="1:9" x14ac:dyDescent="0.25">
      <c r="A6" t="s">
        <v>3</v>
      </c>
      <c r="B6">
        <v>1000</v>
      </c>
    </row>
    <row r="7" spans="1:9" x14ac:dyDescent="0.25">
      <c r="A7" t="s">
        <v>5</v>
      </c>
      <c r="B7" s="1">
        <v>0.15</v>
      </c>
    </row>
    <row r="8" spans="1:9" x14ac:dyDescent="0.25">
      <c r="A8" t="s">
        <v>32</v>
      </c>
      <c r="B8" s="15">
        <v>129.28518980564289</v>
      </c>
      <c r="D8" s="14"/>
    </row>
    <row r="9" spans="1:9" x14ac:dyDescent="0.25">
      <c r="A9" t="s">
        <v>30</v>
      </c>
      <c r="B9" s="6">
        <f>B14+NPV(B7,B15:B25)</f>
        <v>0</v>
      </c>
      <c r="C9" t="str" cm="1">
        <f t="array" aca="1" ref="C9" ca="1">getformula(B9)</f>
        <v>&lt;-- =B14+NPV(B7,B15:B25)</v>
      </c>
    </row>
    <row r="10" spans="1:9" x14ac:dyDescent="0.25">
      <c r="A10" t="s">
        <v>31</v>
      </c>
      <c r="B10" s="1">
        <v>0.1</v>
      </c>
      <c r="G10" s="2" t="s">
        <v>32</v>
      </c>
      <c r="H10" s="2" t="s">
        <v>30</v>
      </c>
      <c r="I10" s="2" t="s">
        <v>33</v>
      </c>
    </row>
    <row r="11" spans="1:9" x14ac:dyDescent="0.25">
      <c r="B11" s="1"/>
      <c r="G11" s="13">
        <v>100</v>
      </c>
      <c r="H11" s="13">
        <f t="shared" ref="H11:H19" si="0">I11-$B$6</f>
        <v>-226.51619918467293</v>
      </c>
      <c r="I11" s="13">
        <f t="shared" ref="I11:I19" si="1">(G11/($B$7-$B$10))*(1-((1+$B$10)/(1+$B$7))^11)</f>
        <v>773.48380081532707</v>
      </c>
    </row>
    <row r="12" spans="1:9" x14ac:dyDescent="0.25">
      <c r="B12" s="1"/>
      <c r="G12" s="13">
        <v>110</v>
      </c>
      <c r="H12" s="13">
        <f t="shared" si="0"/>
        <v>-149.16781910314023</v>
      </c>
      <c r="I12" s="13">
        <f t="shared" si="1"/>
        <v>850.83218089685977</v>
      </c>
    </row>
    <row r="13" spans="1:9" x14ac:dyDescent="0.25">
      <c r="A13" s="8" t="s">
        <v>8</v>
      </c>
      <c r="B13" s="8" t="s">
        <v>6</v>
      </c>
      <c r="G13" s="13">
        <v>120</v>
      </c>
      <c r="H13" s="13">
        <f t="shared" si="0"/>
        <v>-71.819439021607536</v>
      </c>
      <c r="I13" s="13">
        <f t="shared" si="1"/>
        <v>928.18056097839246</v>
      </c>
    </row>
    <row r="14" spans="1:9" x14ac:dyDescent="0.25">
      <c r="A14" s="5">
        <v>0</v>
      </c>
      <c r="B14" s="6">
        <v>-1000</v>
      </c>
      <c r="G14" s="13">
        <v>129.2852</v>
      </c>
      <c r="H14" s="13">
        <f t="shared" si="0"/>
        <v>7.8851697253412567E-5</v>
      </c>
      <c r="I14" s="13">
        <f t="shared" si="1"/>
        <v>1000.0000788516973</v>
      </c>
    </row>
    <row r="15" spans="1:9" x14ac:dyDescent="0.25">
      <c r="A15" s="5">
        <v>1</v>
      </c>
      <c r="B15" s="6">
        <f>$B$8</f>
        <v>129.28518980564289</v>
      </c>
      <c r="G15" s="13">
        <v>129.29</v>
      </c>
      <c r="H15" s="15">
        <f t="shared" si="0"/>
        <v>3.7206074136292955E-2</v>
      </c>
      <c r="I15" s="15">
        <f t="shared" si="1"/>
        <v>1000.0372060741363</v>
      </c>
    </row>
    <row r="16" spans="1:9" x14ac:dyDescent="0.25">
      <c r="A16" s="5">
        <v>2</v>
      </c>
      <c r="B16" s="6">
        <f>B15*(1+$B$10)</f>
        <v>142.21370878620718</v>
      </c>
      <c r="C16" t="str" cm="1">
        <f t="array" aca="1" ref="C16" ca="1">getformula(B16)</f>
        <v>&lt;-- =B15*(1+$B$10)</v>
      </c>
      <c r="G16" s="13">
        <v>129.30000000000001</v>
      </c>
      <c r="H16" s="13">
        <f t="shared" si="0"/>
        <v>0.11455445421802324</v>
      </c>
      <c r="I16" s="13">
        <f t="shared" si="1"/>
        <v>1000.114554454218</v>
      </c>
    </row>
    <row r="17" spans="1:9" x14ac:dyDescent="0.25">
      <c r="A17" s="5">
        <v>3</v>
      </c>
      <c r="B17" s="6">
        <f t="shared" ref="B17:B25" si="2">B16*(1+$B$10)</f>
        <v>156.4350796648279</v>
      </c>
      <c r="G17" s="13">
        <v>130</v>
      </c>
      <c r="H17" s="13">
        <f t="shared" si="0"/>
        <v>5.5289410599250459</v>
      </c>
      <c r="I17" s="13">
        <f t="shared" si="1"/>
        <v>1005.528941059925</v>
      </c>
    </row>
    <row r="18" spans="1:9" x14ac:dyDescent="0.25">
      <c r="A18" s="5">
        <v>4</v>
      </c>
      <c r="B18" s="6">
        <f t="shared" si="2"/>
        <v>172.07858763131071</v>
      </c>
      <c r="G18">
        <v>140</v>
      </c>
      <c r="H18" s="15">
        <f t="shared" si="0"/>
        <v>82.877321141457742</v>
      </c>
      <c r="I18" s="15">
        <f t="shared" si="1"/>
        <v>1082.8773211414577</v>
      </c>
    </row>
    <row r="19" spans="1:9" x14ac:dyDescent="0.25">
      <c r="A19" s="5">
        <v>5</v>
      </c>
      <c r="B19" s="6">
        <f t="shared" si="2"/>
        <v>189.28644639444181</v>
      </c>
      <c r="G19">
        <v>150</v>
      </c>
      <c r="H19" s="15">
        <f t="shared" si="0"/>
        <v>160.22570122299044</v>
      </c>
      <c r="I19" s="15">
        <f t="shared" si="1"/>
        <v>1160.2257012229904</v>
      </c>
    </row>
    <row r="20" spans="1:9" x14ac:dyDescent="0.25">
      <c r="A20" s="5">
        <v>6</v>
      </c>
      <c r="B20" s="6">
        <f t="shared" si="2"/>
        <v>208.21509103388601</v>
      </c>
    </row>
    <row r="21" spans="1:9" x14ac:dyDescent="0.25">
      <c r="A21" s="5">
        <v>7</v>
      </c>
      <c r="B21" s="6">
        <f t="shared" si="2"/>
        <v>229.03660013727463</v>
      </c>
    </row>
    <row r="22" spans="1:9" x14ac:dyDescent="0.25">
      <c r="A22" s="5">
        <v>8</v>
      </c>
      <c r="B22" s="6">
        <f t="shared" si="2"/>
        <v>251.94026015100212</v>
      </c>
    </row>
    <row r="23" spans="1:9" x14ac:dyDescent="0.25">
      <c r="A23" s="5">
        <v>9</v>
      </c>
      <c r="B23" s="6">
        <f t="shared" si="2"/>
        <v>277.13428616610236</v>
      </c>
    </row>
    <row r="24" spans="1:9" x14ac:dyDescent="0.25">
      <c r="A24" s="5">
        <v>10</v>
      </c>
      <c r="B24" s="6">
        <f t="shared" si="2"/>
        <v>304.84771478271261</v>
      </c>
    </row>
    <row r="25" spans="1:9" x14ac:dyDescent="0.25">
      <c r="A25" s="5">
        <v>11</v>
      </c>
      <c r="B25" s="6">
        <f t="shared" si="2"/>
        <v>335.3324862609839</v>
      </c>
    </row>
    <row r="31" spans="1:9" ht="48" customHeight="1" x14ac:dyDescent="0.25">
      <c r="A31" s="34" t="s">
        <v>34</v>
      </c>
      <c r="B31" s="34"/>
      <c r="C31" s="34"/>
      <c r="D31" s="34"/>
      <c r="E31" s="34"/>
    </row>
  </sheetData>
  <mergeCells count="5">
    <mergeCell ref="A31:E31"/>
    <mergeCell ref="A4:E4"/>
    <mergeCell ref="A1:E1"/>
    <mergeCell ref="A2:E2"/>
    <mergeCell ref="A3:E3"/>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C567C-2C5B-4F16-ABAA-43DA08214F9D}">
  <sheetPr codeName="Sheet4"/>
  <dimension ref="A1:H34"/>
  <sheetViews>
    <sheetView topLeftCell="A7" workbookViewId="0">
      <selection activeCell="A34" sqref="A34:E34"/>
    </sheetView>
  </sheetViews>
  <sheetFormatPr defaultRowHeight="15" x14ac:dyDescent="0.25"/>
  <cols>
    <col min="2" max="2" width="19" customWidth="1"/>
    <col min="3" max="3" width="22.5703125" bestFit="1" customWidth="1"/>
    <col min="5" max="5" width="18" customWidth="1"/>
    <col min="6" max="6" width="21.140625" bestFit="1" customWidth="1"/>
    <col min="7" max="7" width="16.28515625" customWidth="1"/>
  </cols>
  <sheetData>
    <row r="1" spans="1:8" ht="63.75" customHeight="1" x14ac:dyDescent="0.25">
      <c r="A1" s="28" t="s">
        <v>35</v>
      </c>
      <c r="B1" s="28"/>
      <c r="C1" s="28"/>
      <c r="D1" s="28"/>
      <c r="E1" s="28"/>
      <c r="F1" s="28"/>
      <c r="G1" s="28"/>
      <c r="H1" s="28"/>
    </row>
    <row r="3" spans="1:8" x14ac:dyDescent="0.25">
      <c r="A3" s="8" t="s">
        <v>8</v>
      </c>
      <c r="B3" s="8" t="s">
        <v>6</v>
      </c>
      <c r="E3" s="17" t="s">
        <v>5</v>
      </c>
      <c r="F3" s="17" t="s">
        <v>30</v>
      </c>
    </row>
    <row r="4" spans="1:8" x14ac:dyDescent="0.25">
      <c r="A4" s="5">
        <v>0</v>
      </c>
      <c r="B4">
        <v>-500</v>
      </c>
      <c r="E4" s="1">
        <v>0.05</v>
      </c>
      <c r="F4" s="3">
        <f>$B$4+NPV(E4,$B$5:$B$9)</f>
        <v>-16.296976984653327</v>
      </c>
    </row>
    <row r="5" spans="1:8" x14ac:dyDescent="0.25">
      <c r="A5" s="5">
        <v>1</v>
      </c>
      <c r="B5">
        <v>600</v>
      </c>
      <c r="E5" s="1">
        <v>0.1</v>
      </c>
      <c r="F5" s="3">
        <f t="shared" ref="F5:F14" si="0">$B$4+NPV(E5,$B$5:$B$9)</f>
        <v>34.464238036398569</v>
      </c>
    </row>
    <row r="6" spans="1:8" x14ac:dyDescent="0.25">
      <c r="A6" s="5">
        <v>2</v>
      </c>
      <c r="B6">
        <v>300</v>
      </c>
      <c r="E6" s="1">
        <f>E5+0.1</f>
        <v>0.2</v>
      </c>
      <c r="F6" s="3">
        <f t="shared" si="0"/>
        <v>76.51748971193399</v>
      </c>
    </row>
    <row r="7" spans="1:8" x14ac:dyDescent="0.25">
      <c r="A7" s="5">
        <v>3</v>
      </c>
      <c r="B7">
        <v>300</v>
      </c>
      <c r="E7" s="1">
        <f t="shared" ref="E7:E14" si="1">E6+0.1</f>
        <v>0.30000000000000004</v>
      </c>
      <c r="F7" s="3">
        <f t="shared" si="0"/>
        <v>76.299580115973072</v>
      </c>
    </row>
    <row r="8" spans="1:8" x14ac:dyDescent="0.25">
      <c r="A8" s="5">
        <v>4</v>
      </c>
      <c r="B8">
        <v>200</v>
      </c>
      <c r="E8" s="1">
        <f t="shared" si="1"/>
        <v>0.4</v>
      </c>
      <c r="F8" s="3">
        <f t="shared" si="0"/>
        <v>57.089308026417598</v>
      </c>
    </row>
    <row r="9" spans="1:8" x14ac:dyDescent="0.25">
      <c r="A9" s="5">
        <v>5</v>
      </c>
      <c r="B9">
        <v>-1000</v>
      </c>
      <c r="E9" s="1">
        <f t="shared" si="1"/>
        <v>0.5</v>
      </c>
      <c r="F9" s="3">
        <f t="shared" si="0"/>
        <v>30.041152263374556</v>
      </c>
    </row>
    <row r="10" spans="1:8" x14ac:dyDescent="0.25">
      <c r="E10" s="1">
        <f t="shared" si="1"/>
        <v>0.6</v>
      </c>
      <c r="F10" s="3">
        <f t="shared" si="0"/>
        <v>0.579833984375</v>
      </c>
    </row>
    <row r="11" spans="1:8" x14ac:dyDescent="0.25">
      <c r="A11" t="s">
        <v>36</v>
      </c>
      <c r="B11" s="7">
        <f>IRR(B4:B9,0.1)</f>
        <v>6.3387866457038422E-2</v>
      </c>
      <c r="C11" t="str" cm="1">
        <f t="array" aca="1" ref="C11" ca="1">getformula(B11)</f>
        <v>&lt;-- =IRR(B4:B9,0.1)</v>
      </c>
      <c r="E11" s="1">
        <f t="shared" si="1"/>
        <v>0.7</v>
      </c>
      <c r="F11" s="3">
        <f t="shared" si="0"/>
        <v>-28.673662206827885</v>
      </c>
    </row>
    <row r="12" spans="1:8" x14ac:dyDescent="0.25">
      <c r="A12" t="s">
        <v>37</v>
      </c>
      <c r="B12" s="7">
        <f>IRR(B4:B9,0.5)</f>
        <v>0.60195607653711836</v>
      </c>
      <c r="C12" t="str" cm="1">
        <f t="array" aca="1" ref="C12" ca="1">getformula(B12)</f>
        <v>&lt;-- =IRR(B4:B9,0.5)</v>
      </c>
      <c r="E12" s="1">
        <f t="shared" si="1"/>
        <v>0.79999999999999993</v>
      </c>
      <c r="F12" s="3">
        <f t="shared" si="0"/>
        <v>-56.503920472827588</v>
      </c>
    </row>
    <row r="13" spans="1:8" x14ac:dyDescent="0.25">
      <c r="E13" s="1">
        <f t="shared" si="1"/>
        <v>0.89999999999999991</v>
      </c>
      <c r="F13" s="3">
        <f t="shared" si="0"/>
        <v>-82.409265542290484</v>
      </c>
    </row>
    <row r="14" spans="1:8" x14ac:dyDescent="0.25">
      <c r="A14" s="18">
        <f>B4+NPV(B11,B5:B9)</f>
        <v>0</v>
      </c>
      <c r="B14" t="str" cm="1">
        <f t="array" aca="1" ref="B14" ca="1">getformula(A14)</f>
        <v>&lt;-- =B4+NPV(B11,B5:B9)</v>
      </c>
      <c r="E14" s="1">
        <f t="shared" si="1"/>
        <v>0.99999999999999989</v>
      </c>
      <c r="F14" s="3">
        <f t="shared" si="0"/>
        <v>-106.25</v>
      </c>
    </row>
    <row r="15" spans="1:8" x14ac:dyDescent="0.25">
      <c r="A15" s="3">
        <f>B4+NPV(B12,B5:B9)</f>
        <v>1.1368683772161603E-12</v>
      </c>
      <c r="B15" t="str" cm="1">
        <f t="array" aca="1" ref="B15" ca="1">getformula(A15)</f>
        <v>&lt;-- =B4+NPV(B12,B5:B9)</v>
      </c>
      <c r="E15" s="16"/>
      <c r="F15" s="3"/>
    </row>
    <row r="16" spans="1:8" x14ac:dyDescent="0.25">
      <c r="E16" s="16"/>
      <c r="F16" s="3"/>
    </row>
    <row r="17" spans="1:7" x14ac:dyDescent="0.25">
      <c r="E17" s="16"/>
      <c r="F17" s="3"/>
    </row>
    <row r="18" spans="1:7" ht="39.75" customHeight="1" x14ac:dyDescent="0.25">
      <c r="A18" s="19" t="s">
        <v>8</v>
      </c>
      <c r="B18" s="19" t="s">
        <v>39</v>
      </c>
      <c r="C18" s="19" t="s">
        <v>40</v>
      </c>
      <c r="D18" s="19" t="s">
        <v>6</v>
      </c>
      <c r="E18" s="19" t="s">
        <v>38</v>
      </c>
      <c r="F18" s="19"/>
      <c r="G18" s="19"/>
    </row>
    <row r="19" spans="1:7" x14ac:dyDescent="0.25">
      <c r="A19" s="5">
        <v>1</v>
      </c>
      <c r="B19">
        <v>500</v>
      </c>
      <c r="C19" s="6">
        <f>$B$11*B19</f>
        <v>31.69393322851921</v>
      </c>
      <c r="D19">
        <v>600</v>
      </c>
      <c r="E19" s="6">
        <f>B19+C19-D19</f>
        <v>-68.306066771480801</v>
      </c>
    </row>
    <row r="20" spans="1:7" x14ac:dyDescent="0.25">
      <c r="A20" s="5">
        <v>2</v>
      </c>
      <c r="B20" s="6">
        <f>E19</f>
        <v>-68.306066771480801</v>
      </c>
      <c r="C20" s="6">
        <f t="shared" ref="C20:C23" si="2">$B$11*B20</f>
        <v>-4.3297758387161744</v>
      </c>
      <c r="D20">
        <v>300</v>
      </c>
      <c r="E20" s="6">
        <f t="shared" ref="E20:E23" si="3">B20+C20-D20</f>
        <v>-372.63584261019696</v>
      </c>
    </row>
    <row r="21" spans="1:7" x14ac:dyDescent="0.25">
      <c r="A21" s="5">
        <v>3</v>
      </c>
      <c r="B21" s="6">
        <f t="shared" ref="B21:B24" si="4">E20</f>
        <v>-372.63584261019696</v>
      </c>
      <c r="C21" s="6">
        <f t="shared" si="2"/>
        <v>-23.620591028481151</v>
      </c>
      <c r="D21">
        <v>300</v>
      </c>
      <c r="E21" s="6">
        <f t="shared" si="3"/>
        <v>-696.25643363867812</v>
      </c>
    </row>
    <row r="22" spans="1:7" x14ac:dyDescent="0.25">
      <c r="A22" s="5">
        <v>4</v>
      </c>
      <c r="B22" s="6">
        <f t="shared" si="4"/>
        <v>-696.25643363867812</v>
      </c>
      <c r="C22" s="6">
        <f t="shared" si="2"/>
        <v>-44.134209835342361</v>
      </c>
      <c r="D22">
        <v>200</v>
      </c>
      <c r="E22" s="6">
        <f t="shared" si="3"/>
        <v>-940.39064347402052</v>
      </c>
    </row>
    <row r="23" spans="1:7" x14ac:dyDescent="0.25">
      <c r="A23" s="5">
        <v>5</v>
      </c>
      <c r="B23" s="6">
        <f t="shared" si="4"/>
        <v>-940.39064347402052</v>
      </c>
      <c r="C23" s="6">
        <f t="shared" si="2"/>
        <v>-59.609356525979642</v>
      </c>
      <c r="D23">
        <v>-1000</v>
      </c>
      <c r="E23" s="6">
        <f t="shared" si="3"/>
        <v>0</v>
      </c>
    </row>
    <row r="24" spans="1:7" x14ac:dyDescent="0.25">
      <c r="A24" s="5">
        <v>6</v>
      </c>
      <c r="B24" s="6">
        <f t="shared" si="4"/>
        <v>0</v>
      </c>
      <c r="C24" s="6"/>
    </row>
    <row r="26" spans="1:7" ht="30" x14ac:dyDescent="0.25">
      <c r="A26" s="19" t="s">
        <v>8</v>
      </c>
      <c r="B26" s="19" t="s">
        <v>39</v>
      </c>
      <c r="C26" s="19" t="s">
        <v>41</v>
      </c>
      <c r="D26" s="19" t="s">
        <v>6</v>
      </c>
      <c r="E26" s="19" t="s">
        <v>38</v>
      </c>
    </row>
    <row r="27" spans="1:7" x14ac:dyDescent="0.25">
      <c r="A27" s="5">
        <v>1</v>
      </c>
      <c r="B27">
        <v>500</v>
      </c>
      <c r="C27" s="6">
        <f>$B$12*B27</f>
        <v>300.9780382685592</v>
      </c>
      <c r="D27">
        <v>600</v>
      </c>
      <c r="E27" s="6">
        <f>B27+C27-D27</f>
        <v>200.9780382685592</v>
      </c>
    </row>
    <row r="28" spans="1:7" x14ac:dyDescent="0.25">
      <c r="A28" s="5">
        <v>2</v>
      </c>
      <c r="B28" s="6">
        <f>E27</f>
        <v>200.9780382685592</v>
      </c>
      <c r="C28" s="6">
        <f t="shared" ref="C28:C31" si="5">$B$12*B28</f>
        <v>120.97995138626872</v>
      </c>
      <c r="D28">
        <v>300</v>
      </c>
      <c r="E28" s="6">
        <f t="shared" ref="E28:E31" si="6">B28+C28-D28</f>
        <v>21.957989654827941</v>
      </c>
    </row>
    <row r="29" spans="1:7" x14ac:dyDescent="0.25">
      <c r="A29" s="5">
        <v>3</v>
      </c>
      <c r="B29" s="6">
        <f t="shared" ref="B29:B32" si="7">E28</f>
        <v>21.957989654827941</v>
      </c>
      <c r="C29" s="6">
        <f t="shared" si="5"/>
        <v>13.217745301262861</v>
      </c>
      <c r="D29">
        <v>300</v>
      </c>
      <c r="E29" s="6">
        <f t="shared" si="6"/>
        <v>-264.82426504390918</v>
      </c>
    </row>
    <row r="30" spans="1:7" x14ac:dyDescent="0.25">
      <c r="A30" s="5">
        <v>4</v>
      </c>
      <c r="B30" s="6">
        <f t="shared" si="7"/>
        <v>-264.82426504390918</v>
      </c>
      <c r="C30" s="6">
        <f t="shared" si="5"/>
        <v>-159.4125755576575</v>
      </c>
      <c r="D30">
        <v>200</v>
      </c>
      <c r="E30" s="6">
        <f t="shared" si="6"/>
        <v>-624.23684060156666</v>
      </c>
    </row>
    <row r="31" spans="1:7" x14ac:dyDescent="0.25">
      <c r="A31" s="5">
        <v>5</v>
      </c>
      <c r="B31" s="6">
        <f t="shared" si="7"/>
        <v>-624.23684060156666</v>
      </c>
      <c r="C31" s="6">
        <f t="shared" si="5"/>
        <v>-375.76315939844562</v>
      </c>
      <c r="D31">
        <v>-1000</v>
      </c>
      <c r="E31" s="6">
        <f t="shared" si="6"/>
        <v>-1.2278178473934531E-11</v>
      </c>
    </row>
    <row r="32" spans="1:7" x14ac:dyDescent="0.25">
      <c r="A32" s="5">
        <v>6</v>
      </c>
      <c r="B32" s="6">
        <f t="shared" si="7"/>
        <v>-1.2278178473934531E-11</v>
      </c>
      <c r="C32" s="6"/>
    </row>
    <row r="34" spans="1:5" ht="30.75" customHeight="1" x14ac:dyDescent="0.25">
      <c r="A34" s="35" t="s">
        <v>46</v>
      </c>
      <c r="B34" s="35"/>
      <c r="C34" s="35"/>
      <c r="D34" s="35"/>
      <c r="E34" s="35"/>
    </row>
  </sheetData>
  <mergeCells count="2">
    <mergeCell ref="A1:H1"/>
    <mergeCell ref="A34:E34"/>
  </mergeCells>
  <pageMargins left="0.7" right="0.7" top="0.75" bottom="0.75" header="0.3" footer="0.3"/>
  <ignoredErrors>
    <ignoredError sqref="E4:F4 E5" calculatedColumn="1"/>
  </ignoredErrors>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DA7D0-E4F2-45E1-882B-E6056A42B820}">
  <sheetPr codeName="Sheet5"/>
  <dimension ref="A1:H18"/>
  <sheetViews>
    <sheetView workbookViewId="0">
      <selection activeCell="B5" sqref="B5"/>
    </sheetView>
  </sheetViews>
  <sheetFormatPr defaultRowHeight="15" x14ac:dyDescent="0.25"/>
  <cols>
    <col min="2" max="2" width="12.85546875" bestFit="1" customWidth="1"/>
    <col min="5" max="5" width="14.140625" customWidth="1"/>
    <col min="6" max="6" width="14.28515625" customWidth="1"/>
    <col min="7" max="8" width="12.140625" customWidth="1"/>
  </cols>
  <sheetData>
    <row r="1" spans="1:8" ht="37.5" customHeight="1" x14ac:dyDescent="0.25">
      <c r="A1" s="28" t="s">
        <v>43</v>
      </c>
      <c r="B1" s="28"/>
      <c r="C1" s="28"/>
      <c r="D1" s="28"/>
      <c r="E1" s="28"/>
      <c r="F1" s="28"/>
      <c r="G1" s="28"/>
      <c r="H1" s="28"/>
    </row>
    <row r="2" spans="1:8" x14ac:dyDescent="0.25">
      <c r="A2" t="s">
        <v>3</v>
      </c>
      <c r="B2">
        <v>800</v>
      </c>
    </row>
    <row r="3" spans="1:8" x14ac:dyDescent="0.25">
      <c r="A3" t="s">
        <v>42</v>
      </c>
      <c r="B3" s="7">
        <v>5.0684138557633769E-2</v>
      </c>
    </row>
    <row r="4" spans="1:8" ht="26.25" customHeight="1" x14ac:dyDescent="0.25">
      <c r="B4" s="7"/>
      <c r="D4" s="36" t="s">
        <v>44</v>
      </c>
      <c r="E4" s="37"/>
    </row>
    <row r="5" spans="1:8" ht="30" customHeight="1" x14ac:dyDescent="0.25">
      <c r="G5" s="38" t="s">
        <v>45</v>
      </c>
      <c r="H5" s="38"/>
    </row>
    <row r="6" spans="1:8" ht="45" customHeight="1" x14ac:dyDescent="0.25">
      <c r="A6" s="21" t="s">
        <v>8</v>
      </c>
      <c r="B6" s="21" t="s">
        <v>6</v>
      </c>
      <c r="C6" s="22"/>
      <c r="D6" s="21" t="s">
        <v>8</v>
      </c>
      <c r="E6" s="9" t="s">
        <v>17</v>
      </c>
      <c r="F6" s="9" t="s">
        <v>18</v>
      </c>
      <c r="G6" s="9" t="s">
        <v>19</v>
      </c>
      <c r="H6" s="9" t="s">
        <v>22</v>
      </c>
    </row>
    <row r="7" spans="1:8" x14ac:dyDescent="0.25">
      <c r="A7" s="5">
        <v>0</v>
      </c>
      <c r="B7">
        <v>-800</v>
      </c>
      <c r="D7">
        <v>1</v>
      </c>
      <c r="E7" s="6">
        <f>B2</f>
        <v>800</v>
      </c>
      <c r="F7" s="6">
        <v>300</v>
      </c>
      <c r="G7" s="6">
        <f>$B$3*E7</f>
        <v>40.547310846107017</v>
      </c>
      <c r="H7" s="6">
        <f>F7-G7</f>
        <v>259.452689153893</v>
      </c>
    </row>
    <row r="8" spans="1:8" x14ac:dyDescent="0.25">
      <c r="A8" s="5">
        <v>1</v>
      </c>
      <c r="B8">
        <v>300</v>
      </c>
      <c r="D8">
        <v>2</v>
      </c>
      <c r="E8" s="6">
        <f>E7-H7</f>
        <v>540.54731084610694</v>
      </c>
      <c r="F8" s="6">
        <v>200</v>
      </c>
      <c r="G8" s="6">
        <f t="shared" ref="G8:G11" si="0">$B$3*E8</f>
        <v>27.397174799880414</v>
      </c>
      <c r="H8" s="6">
        <f t="shared" ref="H8:H11" si="1">F8-G8</f>
        <v>172.60282520011958</v>
      </c>
    </row>
    <row r="9" spans="1:8" x14ac:dyDescent="0.25">
      <c r="A9" s="5">
        <v>2</v>
      </c>
      <c r="B9">
        <v>200</v>
      </c>
      <c r="D9">
        <v>3</v>
      </c>
      <c r="E9" s="6">
        <f t="shared" ref="E9:E12" si="2">E8-H8</f>
        <v>367.94448564598736</v>
      </c>
      <c r="F9" s="6">
        <v>150</v>
      </c>
      <c r="G9" s="6">
        <f t="shared" si="0"/>
        <v>18.648949291998512</v>
      </c>
      <c r="H9" s="6">
        <f t="shared" si="1"/>
        <v>131.35105070800148</v>
      </c>
    </row>
    <row r="10" spans="1:8" x14ac:dyDescent="0.25">
      <c r="A10" s="5">
        <v>3</v>
      </c>
      <c r="B10">
        <v>150</v>
      </c>
      <c r="D10">
        <v>4</v>
      </c>
      <c r="E10" s="6">
        <f t="shared" si="2"/>
        <v>236.59343493798588</v>
      </c>
      <c r="F10" s="6">
        <v>122</v>
      </c>
      <c r="G10" s="6">
        <f t="shared" si="0"/>
        <v>11.991534438223386</v>
      </c>
      <c r="H10" s="6">
        <f t="shared" si="1"/>
        <v>110.00846556177662</v>
      </c>
    </row>
    <row r="11" spans="1:8" x14ac:dyDescent="0.25">
      <c r="A11" s="5">
        <v>4</v>
      </c>
      <c r="B11">
        <v>122</v>
      </c>
      <c r="D11">
        <v>5</v>
      </c>
      <c r="E11" s="6">
        <f t="shared" si="2"/>
        <v>126.58496937620926</v>
      </c>
      <c r="F11" s="6">
        <v>133</v>
      </c>
      <c r="G11" s="6">
        <f t="shared" si="0"/>
        <v>6.4158501271776176</v>
      </c>
      <c r="H11" s="6">
        <f t="shared" si="1"/>
        <v>126.58414987282238</v>
      </c>
    </row>
    <row r="12" spans="1:8" x14ac:dyDescent="0.25">
      <c r="A12" s="5">
        <v>5</v>
      </c>
      <c r="B12">
        <v>133</v>
      </c>
      <c r="D12">
        <v>6</v>
      </c>
      <c r="E12" s="6">
        <f t="shared" si="2"/>
        <v>8.1950338687875046E-4</v>
      </c>
    </row>
    <row r="15" spans="1:8" x14ac:dyDescent="0.25">
      <c r="A15" s="12" t="s">
        <v>47</v>
      </c>
    </row>
    <row r="17" spans="1:2" x14ac:dyDescent="0.25">
      <c r="A17" s="2" t="s">
        <v>48</v>
      </c>
    </row>
    <row r="18" spans="1:2" x14ac:dyDescent="0.25">
      <c r="A18" s="7">
        <f>IRR(B7:B12)</f>
        <v>5.0683794701226192E-2</v>
      </c>
      <c r="B18" t="str" cm="1">
        <f t="array" aca="1" ref="B18" ca="1">getformula(A18)</f>
        <v>&lt;-- =IRR(B7:B12)</v>
      </c>
    </row>
  </sheetData>
  <mergeCells count="3">
    <mergeCell ref="A1:H1"/>
    <mergeCell ref="D4:E4"/>
    <mergeCell ref="G5:H5"/>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7AC0F-71E5-42CC-95A9-A790397C941E}">
  <sheetPr codeName="Sheet6"/>
  <dimension ref="A1:G17"/>
  <sheetViews>
    <sheetView workbookViewId="0">
      <selection activeCell="D12" sqref="D12"/>
    </sheetView>
  </sheetViews>
  <sheetFormatPr defaultRowHeight="15" x14ac:dyDescent="0.25"/>
  <cols>
    <col min="1" max="1" width="24.85546875" customWidth="1"/>
    <col min="2" max="2" width="17" customWidth="1"/>
    <col min="3" max="3" width="14" customWidth="1"/>
    <col min="4" max="4" width="13.140625" customWidth="1"/>
    <col min="5" max="5" width="13.42578125" customWidth="1"/>
  </cols>
  <sheetData>
    <row r="1" spans="1:7" ht="30.75" customHeight="1" x14ac:dyDescent="0.25">
      <c r="A1" s="28" t="s">
        <v>49</v>
      </c>
      <c r="B1" s="28"/>
      <c r="C1" s="28"/>
      <c r="D1" s="28"/>
      <c r="E1" s="28"/>
      <c r="F1" s="28"/>
      <c r="G1" s="28"/>
    </row>
    <row r="3" spans="1:7" x14ac:dyDescent="0.25">
      <c r="A3" t="s">
        <v>50</v>
      </c>
      <c r="B3" s="10">
        <v>100000</v>
      </c>
    </row>
    <row r="4" spans="1:7" x14ac:dyDescent="0.25">
      <c r="A4" t="s">
        <v>24</v>
      </c>
      <c r="B4" s="1">
        <v>0.13</v>
      </c>
    </row>
    <row r="5" spans="1:7" x14ac:dyDescent="0.25">
      <c r="A5" t="s">
        <v>51</v>
      </c>
      <c r="B5">
        <v>5</v>
      </c>
    </row>
    <row r="6" spans="1:7" x14ac:dyDescent="0.25">
      <c r="A6" t="s">
        <v>52</v>
      </c>
    </row>
    <row r="7" spans="1:7" x14ac:dyDescent="0.25">
      <c r="A7" t="s">
        <v>53</v>
      </c>
      <c r="B7" s="3">
        <f>(B4*B3)/(1-(1+B4)^-B5)</f>
        <v>28431.454335515802</v>
      </c>
      <c r="C7" t="str" cm="1">
        <f t="array" aca="1" ref="C7" ca="1">getformula(B7)</f>
        <v>&lt;-- =(B4*B3)/(1-(1+B4)^-B5)</v>
      </c>
    </row>
    <row r="8" spans="1:7" x14ac:dyDescent="0.25">
      <c r="A8" t="s">
        <v>55</v>
      </c>
      <c r="B8" s="3">
        <f>PMT(B4,B5,-B3)</f>
        <v>28431.454335515777</v>
      </c>
    </row>
    <row r="10" spans="1:7" x14ac:dyDescent="0.25">
      <c r="A10" s="24" t="s">
        <v>54</v>
      </c>
      <c r="D10" s="37" t="s">
        <v>21</v>
      </c>
      <c r="E10" s="37"/>
    </row>
    <row r="11" spans="1:7" ht="45" x14ac:dyDescent="0.25">
      <c r="A11" s="8" t="s">
        <v>8</v>
      </c>
      <c r="B11" s="19" t="s">
        <v>17</v>
      </c>
      <c r="C11" s="19" t="s">
        <v>18</v>
      </c>
      <c r="D11" s="19" t="s">
        <v>19</v>
      </c>
      <c r="E11" s="19" t="s">
        <v>20</v>
      </c>
    </row>
    <row r="12" spans="1:7" x14ac:dyDescent="0.25">
      <c r="A12" s="5">
        <v>1</v>
      </c>
      <c r="B12" s="23">
        <f>B3</f>
        <v>100000</v>
      </c>
      <c r="C12" s="23">
        <f>$B$7</f>
        <v>28431.454335515802</v>
      </c>
      <c r="D12" s="23">
        <f>$B$4*B12</f>
        <v>13000</v>
      </c>
      <c r="E12" s="23">
        <f>C12-D12</f>
        <v>15431.454335515802</v>
      </c>
    </row>
    <row r="13" spans="1:7" x14ac:dyDescent="0.25">
      <c r="A13" s="5">
        <v>2</v>
      </c>
      <c r="B13" s="23">
        <f>B12-E12</f>
        <v>84568.545664484205</v>
      </c>
      <c r="C13" s="23">
        <f t="shared" ref="C13:C16" si="0">$B$7</f>
        <v>28431.454335515802</v>
      </c>
      <c r="D13" s="23">
        <f t="shared" ref="D13:D16" si="1">$B$4*B13</f>
        <v>10993.910936382947</v>
      </c>
      <c r="E13" s="23">
        <f t="shared" ref="E13:E16" si="2">C13-D13</f>
        <v>17437.543399132854</v>
      </c>
    </row>
    <row r="14" spans="1:7" x14ac:dyDescent="0.25">
      <c r="A14" s="5">
        <v>3</v>
      </c>
      <c r="B14" s="23">
        <f t="shared" ref="B14:B17" si="3">B13-E13</f>
        <v>67131.002265351359</v>
      </c>
      <c r="C14" s="23">
        <f t="shared" si="0"/>
        <v>28431.454335515802</v>
      </c>
      <c r="D14" s="23">
        <f t="shared" si="1"/>
        <v>8727.0302944956766</v>
      </c>
      <c r="E14" s="23">
        <f t="shared" si="2"/>
        <v>19704.424041020124</v>
      </c>
    </row>
    <row r="15" spans="1:7" x14ac:dyDescent="0.25">
      <c r="A15" s="5">
        <v>4</v>
      </c>
      <c r="B15" s="23">
        <f t="shared" si="3"/>
        <v>47426.578224331235</v>
      </c>
      <c r="C15" s="23">
        <f t="shared" si="0"/>
        <v>28431.454335515802</v>
      </c>
      <c r="D15" s="23">
        <f t="shared" si="1"/>
        <v>6165.4551691630604</v>
      </c>
      <c r="E15" s="23">
        <f t="shared" si="2"/>
        <v>22265.99916635274</v>
      </c>
    </row>
    <row r="16" spans="1:7" x14ac:dyDescent="0.25">
      <c r="A16" s="5">
        <v>5</v>
      </c>
      <c r="B16" s="23">
        <f t="shared" si="3"/>
        <v>25160.579057978495</v>
      </c>
      <c r="C16" s="23">
        <f t="shared" si="0"/>
        <v>28431.454335515802</v>
      </c>
      <c r="D16" s="23">
        <f t="shared" si="1"/>
        <v>3270.8752775372045</v>
      </c>
      <c r="E16" s="23">
        <f t="shared" si="2"/>
        <v>25160.579057978597</v>
      </c>
    </row>
    <row r="17" spans="1:5" x14ac:dyDescent="0.25">
      <c r="A17" s="5">
        <v>6</v>
      </c>
      <c r="B17" s="23">
        <f t="shared" si="3"/>
        <v>-1.0186340659856796E-10</v>
      </c>
      <c r="C17" s="23"/>
      <c r="D17" s="23"/>
      <c r="E17" s="23"/>
    </row>
  </sheetData>
  <mergeCells count="2">
    <mergeCell ref="A1:G1"/>
    <mergeCell ref="D10:E10"/>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5EF9A-1090-4451-8A13-280A8192DF9C}">
  <sheetPr codeName="Sheet7"/>
  <dimension ref="A1:N120"/>
  <sheetViews>
    <sheetView tabSelected="1" topLeftCell="A70" workbookViewId="0">
      <selection activeCell="M74" sqref="M74"/>
    </sheetView>
  </sheetViews>
  <sheetFormatPr defaultRowHeight="15" x14ac:dyDescent="0.25"/>
  <cols>
    <col min="1" max="1" width="25" customWidth="1"/>
    <col min="2" max="2" width="19.5703125" customWidth="1"/>
    <col min="3" max="3" width="12.85546875" customWidth="1"/>
    <col min="4" max="4" width="13" customWidth="1"/>
    <col min="5" max="5" width="17.140625" customWidth="1"/>
    <col min="6" max="6" width="12" bestFit="1" customWidth="1"/>
    <col min="7" max="7" width="11.42578125" customWidth="1"/>
    <col min="9" max="9" width="11.28515625" bestFit="1" customWidth="1"/>
    <col min="10" max="10" width="10.85546875" bestFit="1" customWidth="1"/>
    <col min="11" max="11" width="10.140625" bestFit="1" customWidth="1"/>
    <col min="13" max="14" width="10.140625" bestFit="1" customWidth="1"/>
  </cols>
  <sheetData>
    <row r="1" spans="1:8" ht="75" customHeight="1" x14ac:dyDescent="0.25">
      <c r="A1" s="28" t="s">
        <v>56</v>
      </c>
      <c r="B1" s="28"/>
      <c r="C1" s="28"/>
      <c r="D1" s="28"/>
      <c r="E1" s="28"/>
      <c r="F1" s="28"/>
      <c r="G1" s="28"/>
    </row>
    <row r="2" spans="1:8" x14ac:dyDescent="0.25">
      <c r="A2" s="12" t="s">
        <v>57</v>
      </c>
    </row>
    <row r="3" spans="1:8" x14ac:dyDescent="0.25">
      <c r="A3" s="12"/>
    </row>
    <row r="4" spans="1:8" x14ac:dyDescent="0.25">
      <c r="A4" t="s">
        <v>50</v>
      </c>
      <c r="B4">
        <v>15000</v>
      </c>
    </row>
    <row r="5" spans="1:8" x14ac:dyDescent="0.25">
      <c r="A5" t="s">
        <v>24</v>
      </c>
      <c r="B5" s="7">
        <v>1.2500000000000001E-2</v>
      </c>
    </row>
    <row r="6" spans="1:8" x14ac:dyDescent="0.25">
      <c r="A6" t="s">
        <v>51</v>
      </c>
      <c r="B6">
        <v>48</v>
      </c>
    </row>
    <row r="7" spans="1:8" x14ac:dyDescent="0.25">
      <c r="A7" s="2" t="s">
        <v>59</v>
      </c>
    </row>
    <row r="8" spans="1:8" x14ac:dyDescent="0.25">
      <c r="A8" t="s">
        <v>53</v>
      </c>
      <c r="B8" s="6">
        <f>(B5*B4)/(1-(1+B5)^-B6)</f>
        <v>417.46122399714397</v>
      </c>
      <c r="C8" t="str" cm="1">
        <f t="array" aca="1" ref="C8" ca="1">getformula(B8)</f>
        <v>&lt;-- =(B5*B4)/(1-(1+B5)^-B6)</v>
      </c>
    </row>
    <row r="9" spans="1:8" x14ac:dyDescent="0.25">
      <c r="A9" t="s">
        <v>58</v>
      </c>
      <c r="B9" s="14">
        <f>PMT(15%/12,48,-15000)</f>
        <v>417.46122399714375</v>
      </c>
      <c r="C9" t="str" cm="1">
        <f t="array" aca="1" ref="C9" ca="1">getformula(B9)</f>
        <v>&lt;-- =PMT(15%/12,48,-15000)</v>
      </c>
    </row>
    <row r="11" spans="1:8" ht="32.25" customHeight="1" x14ac:dyDescent="0.25">
      <c r="A11" s="26" t="s">
        <v>60</v>
      </c>
      <c r="B11" s="14">
        <f>PV(B5,B6,-B8)</f>
        <v>14999.999999999998</v>
      </c>
      <c r="C11" t="str" cm="1">
        <f t="array" aca="1" ref="C11" ca="1">getformula(B11)</f>
        <v>&lt;-- =PV(B5,B6,-B8)</v>
      </c>
    </row>
    <row r="14" spans="1:8" ht="29.25" customHeight="1" x14ac:dyDescent="0.25">
      <c r="A14" s="32" t="s">
        <v>61</v>
      </c>
      <c r="B14" s="32"/>
      <c r="C14" s="32"/>
      <c r="D14" s="32"/>
      <c r="E14" s="32"/>
      <c r="F14" s="32"/>
      <c r="G14" s="32"/>
      <c r="H14" s="32"/>
    </row>
    <row r="15" spans="1:8" x14ac:dyDescent="0.25">
      <c r="D15" s="37" t="s">
        <v>21</v>
      </c>
      <c r="E15" s="37"/>
    </row>
    <row r="16" spans="1:8" ht="41.25" customHeight="1" x14ac:dyDescent="0.25">
      <c r="A16" s="19" t="s">
        <v>8</v>
      </c>
      <c r="B16" s="9" t="s">
        <v>62</v>
      </c>
      <c r="C16" s="9" t="s">
        <v>63</v>
      </c>
      <c r="D16" s="9" t="s">
        <v>19</v>
      </c>
      <c r="E16" s="9" t="s">
        <v>20</v>
      </c>
      <c r="F16" s="20"/>
      <c r="G16" t="str" cm="1">
        <f t="array" aca="1" ref="G16" ca="1">getformula(D17)</f>
        <v>&lt;-- =$B$5*B17</v>
      </c>
    </row>
    <row r="17" spans="1:6" x14ac:dyDescent="0.25">
      <c r="A17" s="5">
        <v>1</v>
      </c>
      <c r="B17" s="3">
        <f>B4</f>
        <v>15000</v>
      </c>
      <c r="C17" s="3">
        <f>$B$8</f>
        <v>417.46122399714397</v>
      </c>
      <c r="D17" s="3">
        <f>$B$5*B17</f>
        <v>187.5</v>
      </c>
      <c r="E17" s="3">
        <f>C17-D17</f>
        <v>229.96122399714397</v>
      </c>
      <c r="F17" t="str" cm="1">
        <f t="array" aca="1" ref="F17" ca="1">getformula(E17)</f>
        <v>&lt;-- =C17-D17</v>
      </c>
    </row>
    <row r="18" spans="1:6" x14ac:dyDescent="0.25">
      <c r="A18" s="5">
        <f>A17+1</f>
        <v>2</v>
      </c>
      <c r="B18" s="3">
        <f t="shared" ref="B18:B65" si="0">B17-E17</f>
        <v>14770.038776002855</v>
      </c>
      <c r="C18" s="3">
        <f t="shared" ref="C18:C64" si="1">$B$8</f>
        <v>417.46122399714397</v>
      </c>
      <c r="D18" s="3">
        <f t="shared" ref="D18:D64" si="2">$B$5*B18</f>
        <v>184.62548470003571</v>
      </c>
      <c r="E18" s="3">
        <f t="shared" ref="E18:E64" si="3">C18-D18</f>
        <v>232.83573929710826</v>
      </c>
    </row>
    <row r="19" spans="1:6" x14ac:dyDescent="0.25">
      <c r="A19" s="5">
        <f t="shared" ref="A19:A65" si="4">A18+1</f>
        <v>3</v>
      </c>
      <c r="B19" s="3">
        <f t="shared" si="0"/>
        <v>14537.203036705747</v>
      </c>
      <c r="C19" s="3">
        <f t="shared" si="1"/>
        <v>417.46122399714397</v>
      </c>
      <c r="D19" s="3">
        <f t="shared" si="2"/>
        <v>181.71503795882185</v>
      </c>
      <c r="E19" s="3">
        <f t="shared" si="3"/>
        <v>235.74618603832212</v>
      </c>
    </row>
    <row r="20" spans="1:6" x14ac:dyDescent="0.25">
      <c r="A20" s="5">
        <f t="shared" si="4"/>
        <v>4</v>
      </c>
      <c r="B20" s="3">
        <f t="shared" si="0"/>
        <v>14301.456850667424</v>
      </c>
      <c r="C20" s="3">
        <f t="shared" si="1"/>
        <v>417.46122399714397</v>
      </c>
      <c r="D20" s="3">
        <f t="shared" si="2"/>
        <v>178.76821063334282</v>
      </c>
      <c r="E20" s="3">
        <f t="shared" si="3"/>
        <v>238.69301336380116</v>
      </c>
    </row>
    <row r="21" spans="1:6" x14ac:dyDescent="0.25">
      <c r="A21" s="5">
        <f t="shared" si="4"/>
        <v>5</v>
      </c>
      <c r="B21" s="3">
        <f t="shared" si="0"/>
        <v>14062.763837303622</v>
      </c>
      <c r="C21" s="3">
        <f t="shared" si="1"/>
        <v>417.46122399714397</v>
      </c>
      <c r="D21" s="3">
        <f t="shared" si="2"/>
        <v>175.78454796629529</v>
      </c>
      <c r="E21" s="3">
        <f t="shared" si="3"/>
        <v>241.67667603084868</v>
      </c>
    </row>
    <row r="22" spans="1:6" x14ac:dyDescent="0.25">
      <c r="A22" s="5">
        <f t="shared" si="4"/>
        <v>6</v>
      </c>
      <c r="B22" s="3">
        <f t="shared" si="0"/>
        <v>13821.087161272773</v>
      </c>
      <c r="C22" s="3">
        <f t="shared" si="1"/>
        <v>417.46122399714397</v>
      </c>
      <c r="D22" s="3">
        <f t="shared" si="2"/>
        <v>172.76358951590967</v>
      </c>
      <c r="E22" s="3">
        <f t="shared" si="3"/>
        <v>244.6976344812343</v>
      </c>
    </row>
    <row r="23" spans="1:6" x14ac:dyDescent="0.25">
      <c r="A23" s="5">
        <f t="shared" si="4"/>
        <v>7</v>
      </c>
      <c r="B23" s="3">
        <f t="shared" si="0"/>
        <v>13576.38952679154</v>
      </c>
      <c r="C23" s="3">
        <f t="shared" si="1"/>
        <v>417.46122399714397</v>
      </c>
      <c r="D23" s="3">
        <f t="shared" si="2"/>
        <v>169.70486908489426</v>
      </c>
      <c r="E23" s="3">
        <f t="shared" si="3"/>
        <v>247.75635491224972</v>
      </c>
    </row>
    <row r="24" spans="1:6" x14ac:dyDescent="0.25">
      <c r="A24" s="5">
        <f t="shared" si="4"/>
        <v>8</v>
      </c>
      <c r="B24" s="3">
        <f t="shared" si="0"/>
        <v>13328.63317187929</v>
      </c>
      <c r="C24" s="3">
        <f t="shared" si="1"/>
        <v>417.46122399714397</v>
      </c>
      <c r="D24" s="3">
        <f t="shared" si="2"/>
        <v>166.60791464849115</v>
      </c>
      <c r="E24" s="3">
        <f t="shared" si="3"/>
        <v>250.85330934865283</v>
      </c>
    </row>
    <row r="25" spans="1:6" x14ac:dyDescent="0.25">
      <c r="A25" s="5">
        <f t="shared" si="4"/>
        <v>9</v>
      </c>
      <c r="B25" s="3">
        <f t="shared" si="0"/>
        <v>13077.779862530637</v>
      </c>
      <c r="C25" s="3">
        <f t="shared" si="1"/>
        <v>417.46122399714397</v>
      </c>
      <c r="D25" s="3">
        <f t="shared" si="2"/>
        <v>163.47224828163297</v>
      </c>
      <c r="E25" s="3">
        <f t="shared" si="3"/>
        <v>253.988975715511</v>
      </c>
    </row>
    <row r="26" spans="1:6" x14ac:dyDescent="0.25">
      <c r="A26" s="5">
        <f t="shared" si="4"/>
        <v>10</v>
      </c>
      <c r="B26" s="3">
        <f t="shared" si="0"/>
        <v>12823.790886815126</v>
      </c>
      <c r="C26" s="3">
        <f t="shared" si="1"/>
        <v>417.46122399714397</v>
      </c>
      <c r="D26" s="3">
        <f t="shared" si="2"/>
        <v>160.29738608518909</v>
      </c>
      <c r="E26" s="3">
        <f t="shared" si="3"/>
        <v>257.16383791195489</v>
      </c>
    </row>
    <row r="27" spans="1:6" x14ac:dyDescent="0.25">
      <c r="A27" s="5">
        <f t="shared" si="4"/>
        <v>11</v>
      </c>
      <c r="B27" s="3">
        <f t="shared" si="0"/>
        <v>12566.627048903172</v>
      </c>
      <c r="C27" s="3">
        <f t="shared" si="1"/>
        <v>417.46122399714397</v>
      </c>
      <c r="D27" s="3">
        <f t="shared" si="2"/>
        <v>157.08283811128967</v>
      </c>
      <c r="E27" s="3">
        <f t="shared" si="3"/>
        <v>260.3783858858543</v>
      </c>
    </row>
    <row r="28" spans="1:6" x14ac:dyDescent="0.25">
      <c r="A28" s="5">
        <f t="shared" si="4"/>
        <v>12</v>
      </c>
      <c r="B28" s="3">
        <f t="shared" si="0"/>
        <v>12306.248663017317</v>
      </c>
      <c r="C28" s="3">
        <f t="shared" si="1"/>
        <v>417.46122399714397</v>
      </c>
      <c r="D28" s="3">
        <f t="shared" si="2"/>
        <v>153.82810828771647</v>
      </c>
      <c r="E28" s="3">
        <f t="shared" si="3"/>
        <v>263.6331157094275</v>
      </c>
    </row>
    <row r="29" spans="1:6" x14ac:dyDescent="0.25">
      <c r="A29" s="5">
        <f t="shared" si="4"/>
        <v>13</v>
      </c>
      <c r="B29" s="3">
        <f t="shared" si="0"/>
        <v>12042.615547307889</v>
      </c>
      <c r="C29" s="3">
        <f t="shared" si="1"/>
        <v>417.46122399714397</v>
      </c>
      <c r="D29" s="3">
        <f t="shared" si="2"/>
        <v>150.53269434134862</v>
      </c>
      <c r="E29" s="3">
        <f t="shared" si="3"/>
        <v>266.92852965579539</v>
      </c>
    </row>
    <row r="30" spans="1:6" x14ac:dyDescent="0.25">
      <c r="A30" s="5">
        <f t="shared" si="4"/>
        <v>14</v>
      </c>
      <c r="B30" s="3">
        <f t="shared" si="0"/>
        <v>11775.687017652093</v>
      </c>
      <c r="C30" s="3">
        <f t="shared" si="1"/>
        <v>417.46122399714397</v>
      </c>
      <c r="D30" s="3">
        <f t="shared" si="2"/>
        <v>147.19608772065118</v>
      </c>
      <c r="E30" s="3">
        <f t="shared" si="3"/>
        <v>270.2651362764928</v>
      </c>
    </row>
    <row r="31" spans="1:6" x14ac:dyDescent="0.25">
      <c r="A31" s="5">
        <f t="shared" si="4"/>
        <v>15</v>
      </c>
      <c r="B31" s="3">
        <f t="shared" si="0"/>
        <v>11505.4218813756</v>
      </c>
      <c r="C31" s="3">
        <f t="shared" si="1"/>
        <v>417.46122399714397</v>
      </c>
      <c r="D31" s="3">
        <f t="shared" si="2"/>
        <v>143.81777351719501</v>
      </c>
      <c r="E31" s="3">
        <f t="shared" si="3"/>
        <v>273.64345047994897</v>
      </c>
    </row>
    <row r="32" spans="1:6" x14ac:dyDescent="0.25">
      <c r="A32" s="5">
        <f t="shared" si="4"/>
        <v>16</v>
      </c>
      <c r="B32" s="3">
        <f t="shared" si="0"/>
        <v>11231.778430895651</v>
      </c>
      <c r="C32" s="3">
        <f t="shared" si="1"/>
        <v>417.46122399714397</v>
      </c>
      <c r="D32" s="3">
        <f t="shared" si="2"/>
        <v>140.39723038619564</v>
      </c>
      <c r="E32" s="3">
        <f t="shared" si="3"/>
        <v>277.06399361094833</v>
      </c>
    </row>
    <row r="33" spans="1:5" x14ac:dyDescent="0.25">
      <c r="A33" s="5">
        <f t="shared" si="4"/>
        <v>17</v>
      </c>
      <c r="B33" s="3">
        <f t="shared" si="0"/>
        <v>10954.714437284701</v>
      </c>
      <c r="C33" s="3">
        <f t="shared" si="1"/>
        <v>417.46122399714397</v>
      </c>
      <c r="D33" s="3">
        <f t="shared" si="2"/>
        <v>136.93393046605877</v>
      </c>
      <c r="E33" s="3">
        <f t="shared" si="3"/>
        <v>280.52729353108521</v>
      </c>
    </row>
    <row r="34" spans="1:5" x14ac:dyDescent="0.25">
      <c r="A34" s="5">
        <f t="shared" si="4"/>
        <v>18</v>
      </c>
      <c r="B34" s="3">
        <f t="shared" si="0"/>
        <v>10674.187143753616</v>
      </c>
      <c r="C34" s="3">
        <f t="shared" si="1"/>
        <v>417.46122399714397</v>
      </c>
      <c r="D34" s="3">
        <f t="shared" si="2"/>
        <v>133.4273392969202</v>
      </c>
      <c r="E34" s="3">
        <f t="shared" si="3"/>
        <v>284.03388470022378</v>
      </c>
    </row>
    <row r="35" spans="1:5" x14ac:dyDescent="0.25">
      <c r="A35" s="5">
        <f t="shared" si="4"/>
        <v>19</v>
      </c>
      <c r="B35" s="3">
        <f t="shared" si="0"/>
        <v>10390.153259053392</v>
      </c>
      <c r="C35" s="3">
        <f t="shared" si="1"/>
        <v>417.46122399714397</v>
      </c>
      <c r="D35" s="3">
        <f t="shared" si="2"/>
        <v>129.87691573816741</v>
      </c>
      <c r="E35" s="3">
        <f t="shared" si="3"/>
        <v>287.58430825897653</v>
      </c>
    </row>
    <row r="36" spans="1:5" x14ac:dyDescent="0.25">
      <c r="A36" s="5">
        <f t="shared" si="4"/>
        <v>20</v>
      </c>
      <c r="B36" s="3">
        <f t="shared" si="0"/>
        <v>10102.568950794415</v>
      </c>
      <c r="C36" s="3">
        <f t="shared" si="1"/>
        <v>417.46122399714397</v>
      </c>
      <c r="D36" s="3">
        <f t="shared" si="2"/>
        <v>126.2821118849302</v>
      </c>
      <c r="E36" s="3">
        <f t="shared" si="3"/>
        <v>291.17911211221377</v>
      </c>
    </row>
    <row r="37" spans="1:5" x14ac:dyDescent="0.25">
      <c r="A37" s="5">
        <f t="shared" si="4"/>
        <v>21</v>
      </c>
      <c r="B37" s="3">
        <f t="shared" si="0"/>
        <v>9811.389838682202</v>
      </c>
      <c r="C37" s="3">
        <f t="shared" si="1"/>
        <v>417.46122399714397</v>
      </c>
      <c r="D37" s="3">
        <f t="shared" si="2"/>
        <v>122.64237298352754</v>
      </c>
      <c r="E37" s="3">
        <f t="shared" si="3"/>
        <v>294.81885101361644</v>
      </c>
    </row>
    <row r="38" spans="1:5" x14ac:dyDescent="0.25">
      <c r="A38" s="5">
        <f t="shared" si="4"/>
        <v>22</v>
      </c>
      <c r="B38" s="3">
        <f t="shared" si="0"/>
        <v>9516.5709876685851</v>
      </c>
      <c r="C38" s="3">
        <f t="shared" si="1"/>
        <v>417.46122399714397</v>
      </c>
      <c r="D38" s="3">
        <f t="shared" si="2"/>
        <v>118.95713734585732</v>
      </c>
      <c r="E38" s="3">
        <f t="shared" si="3"/>
        <v>298.50408665128668</v>
      </c>
    </row>
    <row r="39" spans="1:5" x14ac:dyDescent="0.25">
      <c r="A39" s="5">
        <f t="shared" si="4"/>
        <v>23</v>
      </c>
      <c r="B39" s="3">
        <f t="shared" si="0"/>
        <v>9218.0669010172987</v>
      </c>
      <c r="C39" s="3">
        <f t="shared" si="1"/>
        <v>417.46122399714397</v>
      </c>
      <c r="D39" s="3">
        <f t="shared" si="2"/>
        <v>115.22583626271624</v>
      </c>
      <c r="E39" s="3">
        <f t="shared" si="3"/>
        <v>302.23538773442772</v>
      </c>
    </row>
    <row r="40" spans="1:5" x14ac:dyDescent="0.25">
      <c r="A40" s="5">
        <f t="shared" si="4"/>
        <v>24</v>
      </c>
      <c r="B40" s="3">
        <f t="shared" si="0"/>
        <v>8915.8315132828702</v>
      </c>
      <c r="C40" s="3">
        <f t="shared" si="1"/>
        <v>417.46122399714397</v>
      </c>
      <c r="D40" s="3">
        <f t="shared" si="2"/>
        <v>111.44789391603588</v>
      </c>
      <c r="E40" s="3">
        <f t="shared" si="3"/>
        <v>306.01333008110811</v>
      </c>
    </row>
    <row r="41" spans="1:5" x14ac:dyDescent="0.25">
      <c r="A41" s="5">
        <f t="shared" si="4"/>
        <v>25</v>
      </c>
      <c r="B41" s="3">
        <f t="shared" si="0"/>
        <v>8609.8181832017617</v>
      </c>
      <c r="C41" s="3">
        <f t="shared" si="1"/>
        <v>417.46122399714397</v>
      </c>
      <c r="D41" s="3">
        <f t="shared" si="2"/>
        <v>107.62272729002203</v>
      </c>
      <c r="E41" s="3">
        <f t="shared" si="3"/>
        <v>309.83849670712198</v>
      </c>
    </row>
    <row r="42" spans="1:5" x14ac:dyDescent="0.25">
      <c r="A42" s="5">
        <f t="shared" si="4"/>
        <v>26</v>
      </c>
      <c r="B42" s="3">
        <f t="shared" si="0"/>
        <v>8299.9796864946402</v>
      </c>
      <c r="C42" s="3">
        <f t="shared" si="1"/>
        <v>417.46122399714397</v>
      </c>
      <c r="D42" s="3">
        <f t="shared" si="2"/>
        <v>103.74974608118301</v>
      </c>
      <c r="E42" s="3">
        <f t="shared" si="3"/>
        <v>313.71147791596098</v>
      </c>
    </row>
    <row r="43" spans="1:5" x14ac:dyDescent="0.25">
      <c r="A43" s="5">
        <f t="shared" si="4"/>
        <v>27</v>
      </c>
      <c r="B43" s="3">
        <f t="shared" si="0"/>
        <v>7986.2682085786792</v>
      </c>
      <c r="C43" s="3">
        <f t="shared" si="1"/>
        <v>417.46122399714397</v>
      </c>
      <c r="D43" s="3">
        <f t="shared" si="2"/>
        <v>99.828352607233498</v>
      </c>
      <c r="E43" s="3">
        <f t="shared" si="3"/>
        <v>317.63287138991046</v>
      </c>
    </row>
    <row r="44" spans="1:5" x14ac:dyDescent="0.25">
      <c r="A44" s="5">
        <f t="shared" si="4"/>
        <v>28</v>
      </c>
      <c r="B44" s="3">
        <f t="shared" si="0"/>
        <v>7668.635337188769</v>
      </c>
      <c r="C44" s="3">
        <f t="shared" si="1"/>
        <v>417.46122399714397</v>
      </c>
      <c r="D44" s="3">
        <f t="shared" si="2"/>
        <v>95.857941714859621</v>
      </c>
      <c r="E44" s="3">
        <f t="shared" si="3"/>
        <v>321.60328228228434</v>
      </c>
    </row>
    <row r="45" spans="1:5" x14ac:dyDescent="0.25">
      <c r="A45" s="5">
        <f t="shared" si="4"/>
        <v>29</v>
      </c>
      <c r="B45" s="3">
        <f t="shared" si="0"/>
        <v>7347.0320549064845</v>
      </c>
      <c r="C45" s="3">
        <f t="shared" si="1"/>
        <v>417.46122399714397</v>
      </c>
      <c r="D45" s="3">
        <f t="shared" si="2"/>
        <v>91.837900686331068</v>
      </c>
      <c r="E45" s="3">
        <f t="shared" si="3"/>
        <v>325.62332331081291</v>
      </c>
    </row>
    <row r="46" spans="1:5" x14ac:dyDescent="0.25">
      <c r="A46" s="5">
        <f t="shared" si="4"/>
        <v>30</v>
      </c>
      <c r="B46" s="3">
        <f t="shared" si="0"/>
        <v>7021.4087315956713</v>
      </c>
      <c r="C46" s="3">
        <f t="shared" si="1"/>
        <v>417.46122399714397</v>
      </c>
      <c r="D46" s="3">
        <f t="shared" si="2"/>
        <v>87.767609144945894</v>
      </c>
      <c r="E46" s="3">
        <f t="shared" si="3"/>
        <v>329.6936148521981</v>
      </c>
    </row>
    <row r="47" spans="1:5" x14ac:dyDescent="0.25">
      <c r="A47" s="5">
        <f t="shared" si="4"/>
        <v>31</v>
      </c>
      <c r="B47" s="3">
        <f t="shared" si="0"/>
        <v>6691.7151167434731</v>
      </c>
      <c r="C47" s="3">
        <f t="shared" si="1"/>
        <v>417.46122399714397</v>
      </c>
      <c r="D47" s="3">
        <f t="shared" si="2"/>
        <v>83.64643895929342</v>
      </c>
      <c r="E47" s="3">
        <f t="shared" si="3"/>
        <v>333.81478503785058</v>
      </c>
    </row>
    <row r="48" spans="1:5" x14ac:dyDescent="0.25">
      <c r="A48" s="5">
        <f t="shared" si="4"/>
        <v>32</v>
      </c>
      <c r="B48" s="3">
        <f t="shared" si="0"/>
        <v>6357.9003317056222</v>
      </c>
      <c r="C48" s="3">
        <f t="shared" si="1"/>
        <v>417.46122399714397</v>
      </c>
      <c r="D48" s="3">
        <f t="shared" si="2"/>
        <v>79.473754146320289</v>
      </c>
      <c r="E48" s="3">
        <f t="shared" si="3"/>
        <v>337.98746985082369</v>
      </c>
    </row>
    <row r="49" spans="1:5" x14ac:dyDescent="0.25">
      <c r="A49" s="5">
        <f t="shared" si="4"/>
        <v>33</v>
      </c>
      <c r="B49" s="3">
        <f t="shared" si="0"/>
        <v>6019.9128618547984</v>
      </c>
      <c r="C49" s="3">
        <f t="shared" si="1"/>
        <v>417.46122399714397</v>
      </c>
      <c r="D49" s="3">
        <f t="shared" si="2"/>
        <v>75.248910773184988</v>
      </c>
      <c r="E49" s="3">
        <f t="shared" si="3"/>
        <v>342.21231322395897</v>
      </c>
    </row>
    <row r="50" spans="1:5" x14ac:dyDescent="0.25">
      <c r="A50" s="5">
        <f t="shared" si="4"/>
        <v>34</v>
      </c>
      <c r="B50" s="3">
        <f t="shared" si="0"/>
        <v>5677.700548630839</v>
      </c>
      <c r="C50" s="3">
        <f t="shared" si="1"/>
        <v>417.46122399714397</v>
      </c>
      <c r="D50" s="3">
        <f t="shared" si="2"/>
        <v>70.971256857885493</v>
      </c>
      <c r="E50" s="3">
        <f t="shared" si="3"/>
        <v>346.48996713925851</v>
      </c>
    </row>
    <row r="51" spans="1:5" x14ac:dyDescent="0.25">
      <c r="A51" s="5">
        <f t="shared" si="4"/>
        <v>35</v>
      </c>
      <c r="B51" s="3">
        <f t="shared" si="0"/>
        <v>5331.2105814915803</v>
      </c>
      <c r="C51" s="3">
        <f t="shared" si="1"/>
        <v>417.46122399714397</v>
      </c>
      <c r="D51" s="3">
        <f t="shared" si="2"/>
        <v>66.640132268644763</v>
      </c>
      <c r="E51" s="3">
        <f t="shared" si="3"/>
        <v>350.8210917284992</v>
      </c>
    </row>
    <row r="52" spans="1:5" x14ac:dyDescent="0.25">
      <c r="A52" s="5">
        <f t="shared" si="4"/>
        <v>36</v>
      </c>
      <c r="B52" s="3">
        <f t="shared" si="0"/>
        <v>4980.3894897630807</v>
      </c>
      <c r="C52" s="3">
        <f t="shared" si="1"/>
        <v>417.46122399714397</v>
      </c>
      <c r="D52" s="3">
        <f t="shared" si="2"/>
        <v>62.254868622038515</v>
      </c>
      <c r="E52" s="3">
        <f t="shared" si="3"/>
        <v>355.20635537510543</v>
      </c>
    </row>
    <row r="53" spans="1:5" x14ac:dyDescent="0.25">
      <c r="A53" s="5">
        <f t="shared" si="4"/>
        <v>37</v>
      </c>
      <c r="B53" s="3">
        <f t="shared" si="0"/>
        <v>4625.1831343879749</v>
      </c>
      <c r="C53" s="3">
        <f t="shared" si="1"/>
        <v>417.46122399714397</v>
      </c>
      <c r="D53" s="3">
        <f t="shared" si="2"/>
        <v>57.81478917984969</v>
      </c>
      <c r="E53" s="3">
        <f t="shared" si="3"/>
        <v>359.64643481729428</v>
      </c>
    </row>
    <row r="54" spans="1:5" x14ac:dyDescent="0.25">
      <c r="A54" s="5">
        <f t="shared" si="4"/>
        <v>38</v>
      </c>
      <c r="B54" s="3">
        <f t="shared" si="0"/>
        <v>4265.5366995706809</v>
      </c>
      <c r="C54" s="3">
        <f t="shared" si="1"/>
        <v>417.46122399714397</v>
      </c>
      <c r="D54" s="3">
        <f t="shared" si="2"/>
        <v>53.319208744633514</v>
      </c>
      <c r="E54" s="3">
        <f t="shared" si="3"/>
        <v>364.14201525251048</v>
      </c>
    </row>
    <row r="55" spans="1:5" x14ac:dyDescent="0.25">
      <c r="A55" s="5">
        <f t="shared" si="4"/>
        <v>39</v>
      </c>
      <c r="B55" s="3">
        <f t="shared" si="0"/>
        <v>3901.3946843181702</v>
      </c>
      <c r="C55" s="3">
        <f t="shared" si="1"/>
        <v>417.46122399714397</v>
      </c>
      <c r="D55" s="3">
        <f t="shared" si="2"/>
        <v>48.767433553977128</v>
      </c>
      <c r="E55" s="3">
        <f t="shared" si="3"/>
        <v>368.69379044316685</v>
      </c>
    </row>
    <row r="56" spans="1:5" x14ac:dyDescent="0.25">
      <c r="A56" s="5">
        <f t="shared" si="4"/>
        <v>40</v>
      </c>
      <c r="B56" s="3">
        <f t="shared" si="0"/>
        <v>3532.7008938750032</v>
      </c>
      <c r="C56" s="3">
        <f t="shared" si="1"/>
        <v>417.46122399714397</v>
      </c>
      <c r="D56" s="3">
        <f t="shared" si="2"/>
        <v>44.15876117343754</v>
      </c>
      <c r="E56" s="3">
        <f t="shared" si="3"/>
        <v>373.30246282370643</v>
      </c>
    </row>
    <row r="57" spans="1:5" x14ac:dyDescent="0.25">
      <c r="A57" s="5">
        <f t="shared" si="4"/>
        <v>41</v>
      </c>
      <c r="B57" s="3">
        <f t="shared" si="0"/>
        <v>3159.3984310512969</v>
      </c>
      <c r="C57" s="3">
        <f t="shared" si="1"/>
        <v>417.46122399714397</v>
      </c>
      <c r="D57" s="3">
        <f t="shared" si="2"/>
        <v>39.492480388141217</v>
      </c>
      <c r="E57" s="3">
        <f t="shared" si="3"/>
        <v>377.96874360900279</v>
      </c>
    </row>
    <row r="58" spans="1:5" x14ac:dyDescent="0.25">
      <c r="A58" s="5">
        <f t="shared" si="4"/>
        <v>42</v>
      </c>
      <c r="B58" s="3">
        <f t="shared" si="0"/>
        <v>2781.4296874422944</v>
      </c>
      <c r="C58" s="3">
        <f t="shared" si="1"/>
        <v>417.46122399714397</v>
      </c>
      <c r="D58" s="3">
        <f t="shared" si="2"/>
        <v>34.767871093028681</v>
      </c>
      <c r="E58" s="3">
        <f t="shared" si="3"/>
        <v>382.69335290411527</v>
      </c>
    </row>
    <row r="59" spans="1:5" x14ac:dyDescent="0.25">
      <c r="A59" s="5">
        <f t="shared" si="4"/>
        <v>43</v>
      </c>
      <c r="B59" s="3">
        <f t="shared" si="0"/>
        <v>2398.7363345381791</v>
      </c>
      <c r="C59" s="3">
        <f t="shared" si="1"/>
        <v>417.46122399714397</v>
      </c>
      <c r="D59" s="3">
        <f t="shared" si="2"/>
        <v>29.98420418172724</v>
      </c>
      <c r="E59" s="3">
        <f t="shared" si="3"/>
        <v>387.47701981541672</v>
      </c>
    </row>
    <row r="60" spans="1:5" x14ac:dyDescent="0.25">
      <c r="A60" s="5">
        <f t="shared" si="4"/>
        <v>44</v>
      </c>
      <c r="B60" s="3">
        <f t="shared" si="0"/>
        <v>2011.2593147227624</v>
      </c>
      <c r="C60" s="3">
        <f t="shared" si="1"/>
        <v>417.46122399714397</v>
      </c>
      <c r="D60" s="3">
        <f t="shared" si="2"/>
        <v>25.140741434034531</v>
      </c>
      <c r="E60" s="3">
        <f t="shared" si="3"/>
        <v>392.32048256310946</v>
      </c>
    </row>
    <row r="61" spans="1:5" x14ac:dyDescent="0.25">
      <c r="A61" s="5">
        <f t="shared" si="4"/>
        <v>45</v>
      </c>
      <c r="B61" s="3">
        <f t="shared" si="0"/>
        <v>1618.938832159653</v>
      </c>
      <c r="C61" s="3">
        <f t="shared" si="1"/>
        <v>417.46122399714397</v>
      </c>
      <c r="D61" s="3">
        <f t="shared" si="2"/>
        <v>20.236735401995663</v>
      </c>
      <c r="E61" s="3">
        <f t="shared" si="3"/>
        <v>397.22448859514833</v>
      </c>
    </row>
    <row r="62" spans="1:5" x14ac:dyDescent="0.25">
      <c r="A62" s="5">
        <f t="shared" si="4"/>
        <v>46</v>
      </c>
      <c r="B62" s="3">
        <f t="shared" si="0"/>
        <v>1221.7143435645046</v>
      </c>
      <c r="C62" s="3">
        <f t="shared" si="1"/>
        <v>417.46122399714397</v>
      </c>
      <c r="D62" s="3">
        <f t="shared" si="2"/>
        <v>15.271429294556308</v>
      </c>
      <c r="E62" s="3">
        <f t="shared" si="3"/>
        <v>402.18979470258768</v>
      </c>
    </row>
    <row r="63" spans="1:5" x14ac:dyDescent="0.25">
      <c r="A63" s="5">
        <f t="shared" si="4"/>
        <v>47</v>
      </c>
      <c r="B63" s="3">
        <f t="shared" si="0"/>
        <v>819.52454886191686</v>
      </c>
      <c r="C63" s="3">
        <f t="shared" si="1"/>
        <v>417.46122399714397</v>
      </c>
      <c r="D63" s="3">
        <f t="shared" si="2"/>
        <v>10.244056860773961</v>
      </c>
      <c r="E63" s="3">
        <f t="shared" si="3"/>
        <v>407.21716713636999</v>
      </c>
    </row>
    <row r="64" spans="1:5" x14ac:dyDescent="0.25">
      <c r="A64" s="5">
        <f t="shared" si="4"/>
        <v>48</v>
      </c>
      <c r="B64" s="3">
        <f t="shared" si="0"/>
        <v>412.30738172554686</v>
      </c>
      <c r="C64" s="3">
        <f t="shared" si="1"/>
        <v>417.46122399714397</v>
      </c>
      <c r="D64" s="3">
        <f t="shared" si="2"/>
        <v>5.1538422715693359</v>
      </c>
      <c r="E64" s="3">
        <f t="shared" si="3"/>
        <v>412.30738172557466</v>
      </c>
    </row>
    <row r="65" spans="1:14" x14ac:dyDescent="0.25">
      <c r="A65" s="5">
        <f t="shared" si="4"/>
        <v>49</v>
      </c>
      <c r="B65" s="3">
        <f t="shared" si="0"/>
        <v>-2.7796431822935119E-11</v>
      </c>
    </row>
    <row r="68" spans="1:14" x14ac:dyDescent="0.25">
      <c r="A68" s="12" t="s">
        <v>64</v>
      </c>
    </row>
    <row r="70" spans="1:14" ht="39.75" customHeight="1" x14ac:dyDescent="0.25">
      <c r="D70" s="39" t="s">
        <v>21</v>
      </c>
      <c r="E70" s="39"/>
      <c r="F70" s="29" t="s">
        <v>66</v>
      </c>
      <c r="G70" s="29"/>
      <c r="I70" t="str" cm="1">
        <f t="array" aca="1" ref="I70" ca="1">getformula(F72)</f>
        <v>&lt;-- =NPV(1.25%,C72:C119)</v>
      </c>
      <c r="K70" s="14"/>
    </row>
    <row r="71" spans="1:14" ht="45" x14ac:dyDescent="0.25">
      <c r="A71" s="19" t="s">
        <v>8</v>
      </c>
      <c r="B71" s="9" t="s">
        <v>62</v>
      </c>
      <c r="C71" s="9" t="s">
        <v>63</v>
      </c>
      <c r="D71" s="9" t="s">
        <v>19</v>
      </c>
      <c r="E71" s="9" t="s">
        <v>20</v>
      </c>
      <c r="F71" s="9" t="s">
        <v>67</v>
      </c>
      <c r="G71" s="9" t="s">
        <v>65</v>
      </c>
      <c r="I71" t="str" cm="1">
        <f t="array" aca="1" ref="I71" ca="1">getformula(G72)</f>
        <v>&lt;-- =PV(1.25%,48,-$C$72)</v>
      </c>
    </row>
    <row r="72" spans="1:14" x14ac:dyDescent="0.25">
      <c r="A72" s="5">
        <v>1</v>
      </c>
      <c r="B72">
        <f>$B$4</f>
        <v>15000</v>
      </c>
      <c r="C72" s="3">
        <f>$B$8</f>
        <v>417.46122399714397</v>
      </c>
      <c r="D72" s="3">
        <f>$B$5*B72</f>
        <v>187.5</v>
      </c>
      <c r="E72" s="3">
        <f>C72-D72</f>
        <v>229.96122399714397</v>
      </c>
      <c r="F72" s="14">
        <f t="shared" ref="F72:F119" si="5">NPV(1.25%,C72:C119)</f>
        <v>15000.000000000025</v>
      </c>
      <c r="G72" s="14">
        <f>PV(1.25%,48,-$C$72)</f>
        <v>14999.999999999998</v>
      </c>
      <c r="J72" s="14"/>
      <c r="K72" s="14"/>
    </row>
    <row r="73" spans="1:14" x14ac:dyDescent="0.25">
      <c r="A73" s="5">
        <f>A72+1</f>
        <v>2</v>
      </c>
      <c r="B73" s="3">
        <f t="shared" ref="B73:B120" si="6">B72-E72</f>
        <v>14770.038776002855</v>
      </c>
      <c r="C73" s="3">
        <f t="shared" ref="C73:C119" si="7">$B$8</f>
        <v>417.46122399714397</v>
      </c>
      <c r="D73" s="3">
        <f t="shared" ref="D73:D119" si="8">$B$5*B73</f>
        <v>184.62548470003571</v>
      </c>
      <c r="E73" s="3">
        <f t="shared" ref="E73:E119" si="9">C73-D73</f>
        <v>232.83573929710826</v>
      </c>
      <c r="F73" s="14">
        <f t="shared" si="5"/>
        <v>14770.038776002883</v>
      </c>
      <c r="G73" s="14">
        <f t="shared" ref="G73:G119" si="10">PV(1.25%,$B$6-A72,-$C$72)</f>
        <v>14770.038776002852</v>
      </c>
      <c r="K73" s="14"/>
    </row>
    <row r="74" spans="1:14" x14ac:dyDescent="0.25">
      <c r="A74" s="5">
        <f t="shared" ref="A74:A120" si="11">A73+1</f>
        <v>3</v>
      </c>
      <c r="B74" s="3">
        <f t="shared" si="6"/>
        <v>14537.203036705747</v>
      </c>
      <c r="C74" s="3">
        <f t="shared" si="7"/>
        <v>417.46122399714397</v>
      </c>
      <c r="D74" s="3">
        <f t="shared" si="8"/>
        <v>181.71503795882185</v>
      </c>
      <c r="E74" s="3">
        <f t="shared" si="9"/>
        <v>235.74618603832212</v>
      </c>
      <c r="F74" s="14">
        <f t="shared" si="5"/>
        <v>14537.203036705772</v>
      </c>
      <c r="G74" s="14">
        <f t="shared" si="10"/>
        <v>14537.203036705747</v>
      </c>
      <c r="I74" s="3"/>
      <c r="K74" s="14"/>
      <c r="M74" s="6">
        <f>15000*(1+1.25%)^48</f>
        <v>27230.322795789823</v>
      </c>
      <c r="N74" s="14">
        <f>FV(1.25%,48,-417.46)</f>
        <v>27230.242956428901</v>
      </c>
    </row>
    <row r="75" spans="1:14" x14ac:dyDescent="0.25">
      <c r="A75" s="5">
        <f t="shared" si="11"/>
        <v>4</v>
      </c>
      <c r="B75" s="3">
        <f t="shared" si="6"/>
        <v>14301.456850667424</v>
      </c>
      <c r="C75" s="3">
        <f t="shared" si="7"/>
        <v>417.46122399714397</v>
      </c>
      <c r="D75" s="3">
        <f t="shared" si="8"/>
        <v>178.76821063334282</v>
      </c>
      <c r="E75" s="3">
        <f t="shared" si="9"/>
        <v>238.69301336380116</v>
      </c>
      <c r="F75" s="14">
        <f t="shared" si="5"/>
        <v>14301.45685066745</v>
      </c>
      <c r="G75" s="14">
        <f t="shared" si="10"/>
        <v>14301.45685066742</v>
      </c>
      <c r="K75" s="14"/>
      <c r="M75" s="14">
        <f>FV(1.25%,48,,-15000)</f>
        <v>27230.322795789823</v>
      </c>
    </row>
    <row r="76" spans="1:14" x14ac:dyDescent="0.25">
      <c r="A76" s="5">
        <f t="shared" si="11"/>
        <v>5</v>
      </c>
      <c r="B76" s="3">
        <f t="shared" si="6"/>
        <v>14062.763837303622</v>
      </c>
      <c r="C76" s="3">
        <f t="shared" si="7"/>
        <v>417.46122399714397</v>
      </c>
      <c r="D76" s="3">
        <f t="shared" si="8"/>
        <v>175.78454796629529</v>
      </c>
      <c r="E76" s="3">
        <f t="shared" si="9"/>
        <v>241.67667603084868</v>
      </c>
      <c r="F76" s="14">
        <f t="shared" si="5"/>
        <v>14062.763837303648</v>
      </c>
      <c r="G76" s="14">
        <f t="shared" si="10"/>
        <v>14062.763837303622</v>
      </c>
      <c r="K76" s="14"/>
    </row>
    <row r="77" spans="1:14" x14ac:dyDescent="0.25">
      <c r="A77" s="5">
        <f t="shared" si="11"/>
        <v>6</v>
      </c>
      <c r="B77" s="3">
        <f t="shared" si="6"/>
        <v>13821.087161272773</v>
      </c>
      <c r="C77" s="3">
        <f t="shared" si="7"/>
        <v>417.46122399714397</v>
      </c>
      <c r="D77" s="3">
        <f t="shared" si="8"/>
        <v>172.76358951590967</v>
      </c>
      <c r="E77" s="3">
        <f t="shared" si="9"/>
        <v>244.6976344812343</v>
      </c>
      <c r="F77" s="14">
        <f t="shared" si="5"/>
        <v>13821.087161272801</v>
      </c>
      <c r="G77" s="14">
        <f t="shared" si="10"/>
        <v>13821.087161272771</v>
      </c>
      <c r="K77" s="14"/>
      <c r="M77" s="14"/>
      <c r="N77" s="14"/>
    </row>
    <row r="78" spans="1:14" x14ac:dyDescent="0.25">
      <c r="A78" s="5">
        <f t="shared" si="11"/>
        <v>7</v>
      </c>
      <c r="B78" s="3">
        <f t="shared" si="6"/>
        <v>13576.38952679154</v>
      </c>
      <c r="C78" s="3">
        <f t="shared" si="7"/>
        <v>417.46122399714397</v>
      </c>
      <c r="D78" s="3">
        <f t="shared" si="8"/>
        <v>169.70486908489426</v>
      </c>
      <c r="E78" s="3">
        <f t="shared" si="9"/>
        <v>247.75635491224972</v>
      </c>
      <c r="F78" s="14">
        <f t="shared" si="5"/>
        <v>13576.389526791567</v>
      </c>
      <c r="G78" s="14">
        <f t="shared" si="10"/>
        <v>13576.389526791541</v>
      </c>
      <c r="K78" s="14"/>
    </row>
    <row r="79" spans="1:14" x14ac:dyDescent="0.25">
      <c r="A79" s="5">
        <f t="shared" si="11"/>
        <v>8</v>
      </c>
      <c r="B79" s="3">
        <f t="shared" si="6"/>
        <v>13328.63317187929</v>
      </c>
      <c r="C79" s="3">
        <f t="shared" si="7"/>
        <v>417.46122399714397</v>
      </c>
      <c r="D79" s="3">
        <f t="shared" si="8"/>
        <v>166.60791464849115</v>
      </c>
      <c r="E79" s="3">
        <f t="shared" si="9"/>
        <v>250.85330934865283</v>
      </c>
      <c r="F79" s="14">
        <f t="shared" si="5"/>
        <v>13328.633171879315</v>
      </c>
      <c r="G79" s="14">
        <f t="shared" si="10"/>
        <v>13328.633171879292</v>
      </c>
      <c r="K79" s="14"/>
    </row>
    <row r="80" spans="1:14" x14ac:dyDescent="0.25">
      <c r="A80" s="5">
        <f t="shared" si="11"/>
        <v>9</v>
      </c>
      <c r="B80" s="3">
        <f t="shared" si="6"/>
        <v>13077.779862530637</v>
      </c>
      <c r="C80" s="3">
        <f t="shared" si="7"/>
        <v>417.46122399714397</v>
      </c>
      <c r="D80" s="3">
        <f t="shared" si="8"/>
        <v>163.47224828163297</v>
      </c>
      <c r="E80" s="3">
        <f t="shared" si="9"/>
        <v>253.988975715511</v>
      </c>
      <c r="F80" s="14">
        <f t="shared" si="5"/>
        <v>13077.779862530664</v>
      </c>
      <c r="G80" s="14">
        <f t="shared" si="10"/>
        <v>13077.779862530639</v>
      </c>
      <c r="K80" s="14"/>
    </row>
    <row r="81" spans="1:11" x14ac:dyDescent="0.25">
      <c r="A81" s="5">
        <f t="shared" si="11"/>
        <v>10</v>
      </c>
      <c r="B81" s="3">
        <f t="shared" si="6"/>
        <v>12823.790886815126</v>
      </c>
      <c r="C81" s="3">
        <f t="shared" si="7"/>
        <v>417.46122399714397</v>
      </c>
      <c r="D81" s="3">
        <f t="shared" si="8"/>
        <v>160.29738608518909</v>
      </c>
      <c r="E81" s="3">
        <f t="shared" si="9"/>
        <v>257.16383791195489</v>
      </c>
      <c r="F81" s="14">
        <f t="shared" si="5"/>
        <v>12823.790886815152</v>
      </c>
      <c r="G81" s="14">
        <f t="shared" si="10"/>
        <v>12823.790886815124</v>
      </c>
      <c r="K81" s="14"/>
    </row>
    <row r="82" spans="1:11" x14ac:dyDescent="0.25">
      <c r="A82" s="5">
        <f t="shared" si="11"/>
        <v>11</v>
      </c>
      <c r="B82" s="3">
        <f t="shared" si="6"/>
        <v>12566.627048903172</v>
      </c>
      <c r="C82" s="3">
        <f t="shared" si="7"/>
        <v>417.46122399714397</v>
      </c>
      <c r="D82" s="3">
        <f t="shared" si="8"/>
        <v>157.08283811128967</v>
      </c>
      <c r="E82" s="3">
        <f t="shared" si="9"/>
        <v>260.3783858858543</v>
      </c>
      <c r="F82" s="14">
        <f t="shared" si="5"/>
        <v>12566.627048903196</v>
      </c>
      <c r="G82" s="14">
        <f t="shared" si="10"/>
        <v>12566.627048903172</v>
      </c>
      <c r="K82" s="14"/>
    </row>
    <row r="83" spans="1:11" x14ac:dyDescent="0.25">
      <c r="A83" s="5">
        <f t="shared" si="11"/>
        <v>12</v>
      </c>
      <c r="B83" s="3">
        <f t="shared" si="6"/>
        <v>12306.248663017317</v>
      </c>
      <c r="C83" s="3">
        <f t="shared" si="7"/>
        <v>417.46122399714397</v>
      </c>
      <c r="D83" s="3">
        <f t="shared" si="8"/>
        <v>153.82810828771647</v>
      </c>
      <c r="E83" s="3">
        <f t="shared" si="9"/>
        <v>263.6331157094275</v>
      </c>
      <c r="F83" s="14">
        <f t="shared" si="5"/>
        <v>12306.248663017341</v>
      </c>
      <c r="G83" s="14">
        <f t="shared" si="10"/>
        <v>12306.248663017319</v>
      </c>
      <c r="K83" s="14"/>
    </row>
    <row r="84" spans="1:11" x14ac:dyDescent="0.25">
      <c r="A84" s="5">
        <f t="shared" si="11"/>
        <v>13</v>
      </c>
      <c r="B84" s="3">
        <f t="shared" si="6"/>
        <v>12042.615547307889</v>
      </c>
      <c r="C84" s="3">
        <f t="shared" si="7"/>
        <v>417.46122399714397</v>
      </c>
      <c r="D84" s="3">
        <f t="shared" si="8"/>
        <v>150.53269434134862</v>
      </c>
      <c r="E84" s="3">
        <f t="shared" si="9"/>
        <v>266.92852965579539</v>
      </c>
      <c r="F84" s="14">
        <f t="shared" si="5"/>
        <v>12042.615547307912</v>
      </c>
      <c r="G84" s="14">
        <f t="shared" si="10"/>
        <v>12042.615547307892</v>
      </c>
      <c r="K84" s="14"/>
    </row>
    <row r="85" spans="1:11" x14ac:dyDescent="0.25">
      <c r="A85" s="5">
        <f t="shared" si="11"/>
        <v>14</v>
      </c>
      <c r="B85" s="3">
        <f t="shared" si="6"/>
        <v>11775.687017652093</v>
      </c>
      <c r="C85" s="3">
        <f t="shared" si="7"/>
        <v>417.46122399714397</v>
      </c>
      <c r="D85" s="3">
        <f t="shared" si="8"/>
        <v>147.19608772065118</v>
      </c>
      <c r="E85" s="3">
        <f t="shared" si="9"/>
        <v>270.2651362764928</v>
      </c>
      <c r="F85" s="14">
        <f t="shared" si="5"/>
        <v>11775.687017652117</v>
      </c>
      <c r="G85" s="14">
        <f t="shared" si="10"/>
        <v>11775.687017652095</v>
      </c>
      <c r="K85" s="14"/>
    </row>
    <row r="86" spans="1:11" x14ac:dyDescent="0.25">
      <c r="A86" s="5">
        <f t="shared" si="11"/>
        <v>15</v>
      </c>
      <c r="B86" s="3">
        <f t="shared" si="6"/>
        <v>11505.4218813756</v>
      </c>
      <c r="C86" s="3">
        <f t="shared" si="7"/>
        <v>417.46122399714397</v>
      </c>
      <c r="D86" s="3">
        <f t="shared" si="8"/>
        <v>143.81777351719501</v>
      </c>
      <c r="E86" s="3">
        <f t="shared" si="9"/>
        <v>273.64345047994897</v>
      </c>
      <c r="F86" s="14">
        <f t="shared" si="5"/>
        <v>11505.421881375625</v>
      </c>
      <c r="G86" s="14">
        <f t="shared" si="10"/>
        <v>11505.421881375605</v>
      </c>
      <c r="K86" s="14"/>
    </row>
    <row r="87" spans="1:11" x14ac:dyDescent="0.25">
      <c r="A87" s="5">
        <f t="shared" si="11"/>
        <v>16</v>
      </c>
      <c r="B87" s="3">
        <f t="shared" si="6"/>
        <v>11231.778430895651</v>
      </c>
      <c r="C87" s="3">
        <f t="shared" si="7"/>
        <v>417.46122399714397</v>
      </c>
      <c r="D87" s="3">
        <f t="shared" si="8"/>
        <v>140.39723038619564</v>
      </c>
      <c r="E87" s="3">
        <f t="shared" si="9"/>
        <v>277.06399361094833</v>
      </c>
      <c r="F87" s="14">
        <f t="shared" si="5"/>
        <v>11231.778430895674</v>
      </c>
      <c r="G87" s="14">
        <f t="shared" si="10"/>
        <v>11231.778430895658</v>
      </c>
      <c r="K87" s="14"/>
    </row>
    <row r="88" spans="1:11" x14ac:dyDescent="0.25">
      <c r="A88" s="5">
        <f t="shared" si="11"/>
        <v>17</v>
      </c>
      <c r="B88" s="3">
        <f t="shared" si="6"/>
        <v>10954.714437284701</v>
      </c>
      <c r="C88" s="3">
        <f t="shared" si="7"/>
        <v>417.46122399714397</v>
      </c>
      <c r="D88" s="3">
        <f t="shared" si="8"/>
        <v>136.93393046605877</v>
      </c>
      <c r="E88" s="3">
        <f t="shared" si="9"/>
        <v>280.52729353108521</v>
      </c>
      <c r="F88" s="14">
        <f t="shared" si="5"/>
        <v>10954.714437284725</v>
      </c>
      <c r="G88" s="14">
        <f t="shared" si="10"/>
        <v>10954.714437284709</v>
      </c>
      <c r="K88" s="14"/>
    </row>
    <row r="89" spans="1:11" x14ac:dyDescent="0.25">
      <c r="A89" s="5">
        <f t="shared" si="11"/>
        <v>18</v>
      </c>
      <c r="B89" s="3">
        <f t="shared" si="6"/>
        <v>10674.187143753616</v>
      </c>
      <c r="C89" s="3">
        <f t="shared" si="7"/>
        <v>417.46122399714397</v>
      </c>
      <c r="D89" s="3">
        <f t="shared" si="8"/>
        <v>133.4273392969202</v>
      </c>
      <c r="E89" s="3">
        <f t="shared" si="9"/>
        <v>284.03388470022378</v>
      </c>
      <c r="F89" s="14">
        <f t="shared" si="5"/>
        <v>10674.187143753639</v>
      </c>
      <c r="G89" s="14">
        <f t="shared" si="10"/>
        <v>10674.187143753621</v>
      </c>
      <c r="K89" s="14"/>
    </row>
    <row r="90" spans="1:11" x14ac:dyDescent="0.25">
      <c r="A90" s="5">
        <f t="shared" si="11"/>
        <v>19</v>
      </c>
      <c r="B90" s="3">
        <f t="shared" si="6"/>
        <v>10390.153259053392</v>
      </c>
      <c r="C90" s="3">
        <f t="shared" si="7"/>
        <v>417.46122399714397</v>
      </c>
      <c r="D90" s="3">
        <f t="shared" si="8"/>
        <v>129.87691573816741</v>
      </c>
      <c r="E90" s="3">
        <f t="shared" si="9"/>
        <v>287.58430825897653</v>
      </c>
      <c r="F90" s="14">
        <f t="shared" si="5"/>
        <v>10390.153259053417</v>
      </c>
      <c r="G90" s="14">
        <f t="shared" si="10"/>
        <v>10390.153259053403</v>
      </c>
      <c r="K90" s="14"/>
    </row>
    <row r="91" spans="1:11" x14ac:dyDescent="0.25">
      <c r="A91" s="5">
        <f t="shared" si="11"/>
        <v>20</v>
      </c>
      <c r="B91" s="3">
        <f t="shared" si="6"/>
        <v>10102.568950794415</v>
      </c>
      <c r="C91" s="3">
        <f t="shared" si="7"/>
        <v>417.46122399714397</v>
      </c>
      <c r="D91" s="3">
        <f t="shared" si="8"/>
        <v>126.2821118849302</v>
      </c>
      <c r="E91" s="3">
        <f t="shared" si="9"/>
        <v>291.17911211221377</v>
      </c>
      <c r="F91" s="14">
        <f t="shared" si="5"/>
        <v>10102.568950794441</v>
      </c>
      <c r="G91" s="14">
        <f t="shared" si="10"/>
        <v>10102.568950794419</v>
      </c>
      <c r="K91" s="14"/>
    </row>
    <row r="92" spans="1:11" x14ac:dyDescent="0.25">
      <c r="A92" s="5">
        <f t="shared" si="11"/>
        <v>21</v>
      </c>
      <c r="B92" s="3">
        <f t="shared" si="6"/>
        <v>9811.389838682202</v>
      </c>
      <c r="C92" s="3">
        <f t="shared" si="7"/>
        <v>417.46122399714397</v>
      </c>
      <c r="D92" s="3">
        <f t="shared" si="8"/>
        <v>122.64237298352754</v>
      </c>
      <c r="E92" s="3">
        <f t="shared" si="9"/>
        <v>294.81885101361644</v>
      </c>
      <c r="F92" s="14">
        <f t="shared" si="5"/>
        <v>9811.3898386822257</v>
      </c>
      <c r="G92" s="14">
        <f t="shared" si="10"/>
        <v>9811.3898386822093</v>
      </c>
      <c r="K92" s="14"/>
    </row>
    <row r="93" spans="1:11" x14ac:dyDescent="0.25">
      <c r="A93" s="5">
        <f t="shared" si="11"/>
        <v>22</v>
      </c>
      <c r="B93" s="3">
        <f t="shared" si="6"/>
        <v>9516.5709876685851</v>
      </c>
      <c r="C93" s="3">
        <f t="shared" si="7"/>
        <v>417.46122399714397</v>
      </c>
      <c r="D93" s="3">
        <f t="shared" si="8"/>
        <v>118.95713734585732</v>
      </c>
      <c r="E93" s="3">
        <f t="shared" si="9"/>
        <v>298.50408665128668</v>
      </c>
      <c r="F93" s="14">
        <f t="shared" si="5"/>
        <v>9516.5709876686105</v>
      </c>
      <c r="G93" s="14">
        <f t="shared" si="10"/>
        <v>9516.5709876685905</v>
      </c>
      <c r="K93" s="14"/>
    </row>
    <row r="94" spans="1:11" x14ac:dyDescent="0.25">
      <c r="A94" s="5">
        <f t="shared" si="11"/>
        <v>23</v>
      </c>
      <c r="B94" s="3">
        <f t="shared" si="6"/>
        <v>9218.0669010172987</v>
      </c>
      <c r="C94" s="3">
        <f t="shared" si="7"/>
        <v>417.46122399714397</v>
      </c>
      <c r="D94" s="3">
        <f t="shared" si="8"/>
        <v>115.22583626271624</v>
      </c>
      <c r="E94" s="3">
        <f t="shared" si="9"/>
        <v>302.23538773442772</v>
      </c>
      <c r="F94" s="14">
        <f t="shared" si="5"/>
        <v>9218.0669010173224</v>
      </c>
      <c r="G94" s="14">
        <f t="shared" si="10"/>
        <v>9218.0669010173133</v>
      </c>
      <c r="K94" s="14"/>
    </row>
    <row r="95" spans="1:11" x14ac:dyDescent="0.25">
      <c r="A95" s="5">
        <f t="shared" si="11"/>
        <v>24</v>
      </c>
      <c r="B95" s="3">
        <f t="shared" si="6"/>
        <v>8915.8315132828702</v>
      </c>
      <c r="C95" s="3">
        <f t="shared" si="7"/>
        <v>417.46122399714397</v>
      </c>
      <c r="D95" s="3">
        <f t="shared" si="8"/>
        <v>111.44789391603588</v>
      </c>
      <c r="E95" s="3">
        <f t="shared" si="9"/>
        <v>306.01333008110811</v>
      </c>
      <c r="F95" s="14">
        <f t="shared" si="5"/>
        <v>8915.8315132828939</v>
      </c>
      <c r="G95" s="14">
        <f t="shared" si="10"/>
        <v>8915.8315132828793</v>
      </c>
      <c r="K95" s="14"/>
    </row>
    <row r="96" spans="1:11" x14ac:dyDescent="0.25">
      <c r="A96" s="5">
        <f t="shared" si="11"/>
        <v>25</v>
      </c>
      <c r="B96" s="3">
        <f t="shared" si="6"/>
        <v>8609.8181832017617</v>
      </c>
      <c r="C96" s="3">
        <f t="shared" si="7"/>
        <v>417.46122399714397</v>
      </c>
      <c r="D96" s="3">
        <f t="shared" si="8"/>
        <v>107.62272729002203</v>
      </c>
      <c r="E96" s="3">
        <f t="shared" si="9"/>
        <v>309.83849670712198</v>
      </c>
      <c r="F96" s="14">
        <f t="shared" si="5"/>
        <v>8609.8181832017872</v>
      </c>
      <c r="G96" s="14">
        <f t="shared" si="10"/>
        <v>8609.8181832017726</v>
      </c>
      <c r="K96" s="14"/>
    </row>
    <row r="97" spans="1:11" x14ac:dyDescent="0.25">
      <c r="A97" s="5">
        <f t="shared" si="11"/>
        <v>26</v>
      </c>
      <c r="B97" s="3">
        <f t="shared" si="6"/>
        <v>8299.9796864946402</v>
      </c>
      <c r="C97" s="3">
        <f t="shared" si="7"/>
        <v>417.46122399714397</v>
      </c>
      <c r="D97" s="3">
        <f t="shared" si="8"/>
        <v>103.74974608118301</v>
      </c>
      <c r="E97" s="3">
        <f t="shared" si="9"/>
        <v>313.71147791596098</v>
      </c>
      <c r="F97" s="14">
        <f t="shared" si="5"/>
        <v>8299.9796864946657</v>
      </c>
      <c r="G97" s="14">
        <f t="shared" si="10"/>
        <v>8299.9796864946493</v>
      </c>
      <c r="K97" s="14"/>
    </row>
    <row r="98" spans="1:11" x14ac:dyDescent="0.25">
      <c r="A98" s="5">
        <f t="shared" si="11"/>
        <v>27</v>
      </c>
      <c r="B98" s="3">
        <f t="shared" si="6"/>
        <v>7986.2682085786792</v>
      </c>
      <c r="C98" s="3">
        <f t="shared" si="7"/>
        <v>417.46122399714397</v>
      </c>
      <c r="D98" s="3">
        <f t="shared" si="8"/>
        <v>99.828352607233498</v>
      </c>
      <c r="E98" s="3">
        <f t="shared" si="9"/>
        <v>317.63287138991046</v>
      </c>
      <c r="F98" s="14">
        <f t="shared" si="5"/>
        <v>7986.2682085787037</v>
      </c>
      <c r="G98" s="14">
        <f t="shared" si="10"/>
        <v>7986.2682085786892</v>
      </c>
      <c r="K98" s="14"/>
    </row>
    <row r="99" spans="1:11" x14ac:dyDescent="0.25">
      <c r="A99" s="5">
        <f t="shared" si="11"/>
        <v>28</v>
      </c>
      <c r="B99" s="3">
        <f t="shared" si="6"/>
        <v>7668.635337188769</v>
      </c>
      <c r="C99" s="3">
        <f t="shared" si="7"/>
        <v>417.46122399714397</v>
      </c>
      <c r="D99" s="3">
        <f t="shared" si="8"/>
        <v>95.857941714859621</v>
      </c>
      <c r="E99" s="3">
        <f t="shared" si="9"/>
        <v>321.60328228228434</v>
      </c>
      <c r="F99" s="14">
        <f t="shared" si="5"/>
        <v>7668.6353371887935</v>
      </c>
      <c r="G99" s="14">
        <f t="shared" si="10"/>
        <v>7668.6353371887781</v>
      </c>
      <c r="K99" s="14"/>
    </row>
    <row r="100" spans="1:11" x14ac:dyDescent="0.25">
      <c r="A100" s="5">
        <f t="shared" si="11"/>
        <v>29</v>
      </c>
      <c r="B100" s="3">
        <f t="shared" si="6"/>
        <v>7347.0320549064845</v>
      </c>
      <c r="C100" s="3">
        <f t="shared" si="7"/>
        <v>417.46122399714397</v>
      </c>
      <c r="D100" s="3">
        <f t="shared" si="8"/>
        <v>91.837900686331068</v>
      </c>
      <c r="E100" s="3">
        <f t="shared" si="9"/>
        <v>325.62332331081291</v>
      </c>
      <c r="F100" s="14">
        <f t="shared" si="5"/>
        <v>7347.0320549065091</v>
      </c>
      <c r="G100" s="14">
        <f t="shared" si="10"/>
        <v>7347.0320549064963</v>
      </c>
      <c r="K100" s="14"/>
    </row>
    <row r="101" spans="1:11" x14ac:dyDescent="0.25">
      <c r="A101" s="5">
        <f t="shared" si="11"/>
        <v>30</v>
      </c>
      <c r="B101" s="3">
        <f t="shared" si="6"/>
        <v>7021.4087315956713</v>
      </c>
      <c r="C101" s="3">
        <f t="shared" si="7"/>
        <v>417.46122399714397</v>
      </c>
      <c r="D101" s="3">
        <f t="shared" si="8"/>
        <v>87.767609144945894</v>
      </c>
      <c r="E101" s="3">
        <f t="shared" si="9"/>
        <v>329.6936148521981</v>
      </c>
      <c r="F101" s="14">
        <f t="shared" si="5"/>
        <v>7021.4087315956958</v>
      </c>
      <c r="G101" s="14">
        <f t="shared" si="10"/>
        <v>7021.4087315956849</v>
      </c>
      <c r="K101" s="14"/>
    </row>
    <row r="102" spans="1:11" x14ac:dyDescent="0.25">
      <c r="A102" s="5">
        <f t="shared" si="11"/>
        <v>31</v>
      </c>
      <c r="B102" s="3">
        <f t="shared" si="6"/>
        <v>6691.7151167434731</v>
      </c>
      <c r="C102" s="3">
        <f t="shared" si="7"/>
        <v>417.46122399714397</v>
      </c>
      <c r="D102" s="3">
        <f t="shared" si="8"/>
        <v>83.64643895929342</v>
      </c>
      <c r="E102" s="3">
        <f t="shared" si="9"/>
        <v>333.81478503785058</v>
      </c>
      <c r="F102" s="14">
        <f t="shared" si="5"/>
        <v>6691.7151167434968</v>
      </c>
      <c r="G102" s="14">
        <f t="shared" si="10"/>
        <v>6691.7151167434913</v>
      </c>
      <c r="K102" s="14"/>
    </row>
    <row r="103" spans="1:11" x14ac:dyDescent="0.25">
      <c r="A103" s="5">
        <f t="shared" si="11"/>
        <v>32</v>
      </c>
      <c r="B103" s="3">
        <f t="shared" si="6"/>
        <v>6357.9003317056222</v>
      </c>
      <c r="C103" s="3">
        <f t="shared" si="7"/>
        <v>417.46122399714397</v>
      </c>
      <c r="D103" s="3">
        <f t="shared" si="8"/>
        <v>79.473754146320289</v>
      </c>
      <c r="E103" s="3">
        <f t="shared" si="9"/>
        <v>337.98746985082369</v>
      </c>
      <c r="F103" s="14">
        <f t="shared" si="5"/>
        <v>6357.9003317056467</v>
      </c>
      <c r="G103" s="14">
        <f t="shared" si="10"/>
        <v>6357.9003317056377</v>
      </c>
      <c r="K103" s="14"/>
    </row>
    <row r="104" spans="1:11" x14ac:dyDescent="0.25">
      <c r="A104" s="5">
        <f t="shared" si="11"/>
        <v>33</v>
      </c>
      <c r="B104" s="3">
        <f t="shared" si="6"/>
        <v>6019.9128618547984</v>
      </c>
      <c r="C104" s="3">
        <f t="shared" si="7"/>
        <v>417.46122399714397</v>
      </c>
      <c r="D104" s="3">
        <f t="shared" si="8"/>
        <v>75.248910773184988</v>
      </c>
      <c r="E104" s="3">
        <f t="shared" si="9"/>
        <v>342.21231322395897</v>
      </c>
      <c r="F104" s="14">
        <f t="shared" si="5"/>
        <v>6019.9128618548229</v>
      </c>
      <c r="G104" s="14">
        <f t="shared" si="10"/>
        <v>6019.9128618548148</v>
      </c>
      <c r="K104" s="14"/>
    </row>
    <row r="105" spans="1:11" x14ac:dyDescent="0.25">
      <c r="A105" s="5">
        <f t="shared" si="11"/>
        <v>34</v>
      </c>
      <c r="B105" s="3">
        <f t="shared" si="6"/>
        <v>5677.700548630839</v>
      </c>
      <c r="C105" s="3">
        <f t="shared" si="7"/>
        <v>417.46122399714397</v>
      </c>
      <c r="D105" s="3">
        <f t="shared" si="8"/>
        <v>70.971256857885493</v>
      </c>
      <c r="E105" s="3">
        <f t="shared" si="9"/>
        <v>346.48996713925851</v>
      </c>
      <c r="F105" s="14">
        <f t="shared" si="5"/>
        <v>5677.7005486308644</v>
      </c>
      <c r="G105" s="14">
        <f t="shared" si="10"/>
        <v>5677.7005486308508</v>
      </c>
      <c r="K105" s="14"/>
    </row>
    <row r="106" spans="1:11" x14ac:dyDescent="0.25">
      <c r="A106" s="5">
        <f t="shared" si="11"/>
        <v>35</v>
      </c>
      <c r="B106" s="3">
        <f t="shared" si="6"/>
        <v>5331.2105814915803</v>
      </c>
      <c r="C106" s="3">
        <f t="shared" si="7"/>
        <v>417.46122399714397</v>
      </c>
      <c r="D106" s="3">
        <f t="shared" si="8"/>
        <v>66.640132268644763</v>
      </c>
      <c r="E106" s="3">
        <f t="shared" si="9"/>
        <v>350.8210917284992</v>
      </c>
      <c r="F106" s="14">
        <f t="shared" si="5"/>
        <v>5331.2105814916049</v>
      </c>
      <c r="G106" s="14">
        <f t="shared" si="10"/>
        <v>5331.2105814915985</v>
      </c>
      <c r="K106" s="14"/>
    </row>
    <row r="107" spans="1:11" x14ac:dyDescent="0.25">
      <c r="A107" s="5">
        <f t="shared" si="11"/>
        <v>36</v>
      </c>
      <c r="B107" s="3">
        <f t="shared" si="6"/>
        <v>4980.3894897630807</v>
      </c>
      <c r="C107" s="3">
        <f t="shared" si="7"/>
        <v>417.46122399714397</v>
      </c>
      <c r="D107" s="3">
        <f t="shared" si="8"/>
        <v>62.254868622038515</v>
      </c>
      <c r="E107" s="3">
        <f t="shared" si="9"/>
        <v>355.20635537510543</v>
      </c>
      <c r="F107" s="14">
        <f t="shared" si="5"/>
        <v>4980.3894897631062</v>
      </c>
      <c r="G107" s="14">
        <f t="shared" si="10"/>
        <v>4980.3894897630953</v>
      </c>
      <c r="K107" s="14"/>
    </row>
    <row r="108" spans="1:11" x14ac:dyDescent="0.25">
      <c r="A108" s="5">
        <f t="shared" si="11"/>
        <v>37</v>
      </c>
      <c r="B108" s="3">
        <f t="shared" si="6"/>
        <v>4625.1831343879749</v>
      </c>
      <c r="C108" s="3">
        <f t="shared" si="7"/>
        <v>417.46122399714397</v>
      </c>
      <c r="D108" s="3">
        <f t="shared" si="8"/>
        <v>57.81478917984969</v>
      </c>
      <c r="E108" s="3">
        <f t="shared" si="9"/>
        <v>359.64643481729428</v>
      </c>
      <c r="F108" s="14">
        <f t="shared" si="5"/>
        <v>4625.1831343880012</v>
      </c>
      <c r="G108" s="14">
        <f t="shared" si="10"/>
        <v>4625.1831343879949</v>
      </c>
      <c r="K108" s="14"/>
    </row>
    <row r="109" spans="1:11" x14ac:dyDescent="0.25">
      <c r="A109" s="5">
        <f t="shared" si="11"/>
        <v>38</v>
      </c>
      <c r="B109" s="3">
        <f t="shared" si="6"/>
        <v>4265.5366995706809</v>
      </c>
      <c r="C109" s="3">
        <f t="shared" si="7"/>
        <v>417.46122399714397</v>
      </c>
      <c r="D109" s="3">
        <f t="shared" si="8"/>
        <v>53.319208744633514</v>
      </c>
      <c r="E109" s="3">
        <f t="shared" si="9"/>
        <v>364.14201525251048</v>
      </c>
      <c r="F109" s="14">
        <f t="shared" si="5"/>
        <v>4265.5366995707072</v>
      </c>
      <c r="G109" s="14">
        <f t="shared" si="10"/>
        <v>4265.5366995706954</v>
      </c>
      <c r="K109" s="14"/>
    </row>
    <row r="110" spans="1:11" x14ac:dyDescent="0.25">
      <c r="A110" s="5">
        <f t="shared" si="11"/>
        <v>39</v>
      </c>
      <c r="B110" s="3">
        <f t="shared" si="6"/>
        <v>3901.3946843181702</v>
      </c>
      <c r="C110" s="3">
        <f t="shared" si="7"/>
        <v>417.46122399714397</v>
      </c>
      <c r="D110" s="3">
        <f t="shared" si="8"/>
        <v>48.767433553977128</v>
      </c>
      <c r="E110" s="3">
        <f t="shared" si="9"/>
        <v>368.69379044316685</v>
      </c>
      <c r="F110" s="14">
        <f t="shared" si="5"/>
        <v>3901.3946843181961</v>
      </c>
      <c r="G110" s="14">
        <f t="shared" si="10"/>
        <v>3901.394684318193</v>
      </c>
      <c r="K110" s="14"/>
    </row>
    <row r="111" spans="1:11" x14ac:dyDescent="0.25">
      <c r="A111" s="5">
        <f t="shared" si="11"/>
        <v>40</v>
      </c>
      <c r="B111" s="3">
        <f t="shared" si="6"/>
        <v>3532.7008938750032</v>
      </c>
      <c r="C111" s="3">
        <f t="shared" si="7"/>
        <v>417.46122399714397</v>
      </c>
      <c r="D111" s="3">
        <f t="shared" si="8"/>
        <v>44.15876117343754</v>
      </c>
      <c r="E111" s="3">
        <f t="shared" si="9"/>
        <v>373.30246282370643</v>
      </c>
      <c r="F111" s="14">
        <f t="shared" si="5"/>
        <v>3532.7008938750296</v>
      </c>
      <c r="G111" s="14">
        <f t="shared" si="10"/>
        <v>3532.7008938750237</v>
      </c>
      <c r="K111" s="14"/>
    </row>
    <row r="112" spans="1:11" x14ac:dyDescent="0.25">
      <c r="A112" s="5">
        <f t="shared" si="11"/>
        <v>41</v>
      </c>
      <c r="B112" s="3">
        <f t="shared" si="6"/>
        <v>3159.3984310512969</v>
      </c>
      <c r="C112" s="3">
        <f t="shared" si="7"/>
        <v>417.46122399714397</v>
      </c>
      <c r="D112" s="3">
        <f t="shared" si="8"/>
        <v>39.492480388141217</v>
      </c>
      <c r="E112" s="3">
        <f t="shared" si="9"/>
        <v>377.96874360900279</v>
      </c>
      <c r="F112" s="14">
        <f t="shared" si="5"/>
        <v>3159.3984310513233</v>
      </c>
      <c r="G112" s="14">
        <f t="shared" si="10"/>
        <v>3159.3984310513188</v>
      </c>
      <c r="K112" s="14"/>
    </row>
    <row r="113" spans="1:11" x14ac:dyDescent="0.25">
      <c r="A113" s="5">
        <f t="shared" si="11"/>
        <v>42</v>
      </c>
      <c r="B113" s="3">
        <f t="shared" si="6"/>
        <v>2781.4296874422944</v>
      </c>
      <c r="C113" s="3">
        <f t="shared" si="7"/>
        <v>417.46122399714397</v>
      </c>
      <c r="D113" s="3">
        <f t="shared" si="8"/>
        <v>34.767871093028681</v>
      </c>
      <c r="E113" s="3">
        <f t="shared" si="9"/>
        <v>382.69335290411527</v>
      </c>
      <c r="F113" s="14">
        <f t="shared" si="5"/>
        <v>2781.4296874423203</v>
      </c>
      <c r="G113" s="14">
        <f t="shared" si="10"/>
        <v>2781.4296874423112</v>
      </c>
      <c r="K113" s="14"/>
    </row>
    <row r="114" spans="1:11" x14ac:dyDescent="0.25">
      <c r="A114" s="5">
        <f t="shared" si="11"/>
        <v>43</v>
      </c>
      <c r="B114" s="3">
        <f t="shared" si="6"/>
        <v>2398.7363345381791</v>
      </c>
      <c r="C114" s="3">
        <f t="shared" si="7"/>
        <v>417.46122399714397</v>
      </c>
      <c r="D114" s="3">
        <f t="shared" si="8"/>
        <v>29.98420418172724</v>
      </c>
      <c r="E114" s="3">
        <f t="shared" si="9"/>
        <v>387.47701981541672</v>
      </c>
      <c r="F114" s="14">
        <f t="shared" si="5"/>
        <v>2398.7363345382055</v>
      </c>
      <c r="G114" s="14">
        <f t="shared" si="10"/>
        <v>2398.7363345382005</v>
      </c>
      <c r="K114" s="14"/>
    </row>
    <row r="115" spans="1:11" x14ac:dyDescent="0.25">
      <c r="A115" s="5">
        <f t="shared" si="11"/>
        <v>44</v>
      </c>
      <c r="B115" s="3">
        <f t="shared" si="6"/>
        <v>2011.2593147227624</v>
      </c>
      <c r="C115" s="3">
        <f t="shared" si="7"/>
        <v>417.46122399714397</v>
      </c>
      <c r="D115" s="3">
        <f t="shared" si="8"/>
        <v>25.140741434034531</v>
      </c>
      <c r="E115" s="3">
        <f t="shared" si="9"/>
        <v>392.32048256310946</v>
      </c>
      <c r="F115" s="14">
        <f t="shared" si="5"/>
        <v>2011.259314722789</v>
      </c>
      <c r="G115" s="14">
        <f t="shared" si="10"/>
        <v>2011.2593147227824</v>
      </c>
      <c r="K115" s="14"/>
    </row>
    <row r="116" spans="1:11" x14ac:dyDescent="0.25">
      <c r="A116" s="5">
        <f t="shared" si="11"/>
        <v>45</v>
      </c>
      <c r="B116" s="3">
        <f t="shared" si="6"/>
        <v>1618.938832159653</v>
      </c>
      <c r="C116" s="3">
        <f t="shared" si="7"/>
        <v>417.46122399714397</v>
      </c>
      <c r="D116" s="3">
        <f t="shared" si="8"/>
        <v>20.236735401995663</v>
      </c>
      <c r="E116" s="3">
        <f t="shared" si="9"/>
        <v>397.22448859514833</v>
      </c>
      <c r="F116" s="14">
        <f t="shared" si="5"/>
        <v>1618.9388321596796</v>
      </c>
      <c r="G116" s="14">
        <f t="shared" si="10"/>
        <v>1618.9388321596775</v>
      </c>
      <c r="K116" s="14"/>
    </row>
    <row r="117" spans="1:11" x14ac:dyDescent="0.25">
      <c r="A117" s="5">
        <f t="shared" si="11"/>
        <v>46</v>
      </c>
      <c r="B117" s="3">
        <f t="shared" si="6"/>
        <v>1221.7143435645046</v>
      </c>
      <c r="C117" s="3">
        <f t="shared" si="7"/>
        <v>417.46122399714397</v>
      </c>
      <c r="D117" s="3">
        <f t="shared" si="8"/>
        <v>15.271429294556308</v>
      </c>
      <c r="E117" s="3">
        <f t="shared" si="9"/>
        <v>402.18979470258768</v>
      </c>
      <c r="F117" s="14">
        <f t="shared" si="5"/>
        <v>1221.7143435645314</v>
      </c>
      <c r="G117" s="14">
        <f t="shared" si="10"/>
        <v>1221.7143435645262</v>
      </c>
      <c r="K117" s="14"/>
    </row>
    <row r="118" spans="1:11" x14ac:dyDescent="0.25">
      <c r="A118" s="5">
        <f t="shared" si="11"/>
        <v>47</v>
      </c>
      <c r="B118" s="3">
        <f t="shared" si="6"/>
        <v>819.52454886191686</v>
      </c>
      <c r="C118" s="3">
        <f t="shared" si="7"/>
        <v>417.46122399714397</v>
      </c>
      <c r="D118" s="3">
        <f t="shared" si="8"/>
        <v>10.244056860773961</v>
      </c>
      <c r="E118" s="3">
        <f t="shared" si="9"/>
        <v>407.21716713636999</v>
      </c>
      <c r="F118" s="14">
        <f t="shared" si="5"/>
        <v>819.52454886194414</v>
      </c>
      <c r="G118" s="14">
        <f t="shared" si="10"/>
        <v>819.5245488619438</v>
      </c>
      <c r="K118" s="14"/>
    </row>
    <row r="119" spans="1:11" x14ac:dyDescent="0.25">
      <c r="A119" s="5">
        <f t="shared" si="11"/>
        <v>48</v>
      </c>
      <c r="B119" s="3">
        <f t="shared" si="6"/>
        <v>412.30738172554686</v>
      </c>
      <c r="C119" s="3">
        <f t="shared" si="7"/>
        <v>417.46122399714397</v>
      </c>
      <c r="D119" s="3">
        <f t="shared" si="8"/>
        <v>5.1538422715693359</v>
      </c>
      <c r="E119" s="3">
        <f t="shared" si="9"/>
        <v>412.30738172557466</v>
      </c>
      <c r="F119" s="14">
        <f t="shared" si="5"/>
        <v>412.30738172557432</v>
      </c>
      <c r="G119" s="14">
        <f t="shared" si="10"/>
        <v>412.30738172557284</v>
      </c>
      <c r="K119" s="14"/>
    </row>
    <row r="120" spans="1:11" x14ac:dyDescent="0.25">
      <c r="A120" s="5">
        <f t="shared" si="11"/>
        <v>49</v>
      </c>
      <c r="B120" s="3">
        <f t="shared" si="6"/>
        <v>-2.7796431822935119E-11</v>
      </c>
    </row>
  </sheetData>
  <mergeCells count="5">
    <mergeCell ref="A1:G1"/>
    <mergeCell ref="A14:H14"/>
    <mergeCell ref="D15:E15"/>
    <mergeCell ref="D70:E70"/>
    <mergeCell ref="F70:G70"/>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840C13-061F-4673-8BF9-540B8D69DDA9}">
  <sheetPr codeName="Sheet8"/>
  <dimension ref="A1:K55"/>
  <sheetViews>
    <sheetView topLeftCell="A19" workbookViewId="0">
      <selection activeCell="J25" sqref="J25"/>
    </sheetView>
  </sheetViews>
  <sheetFormatPr defaultRowHeight="15" x14ac:dyDescent="0.25"/>
  <cols>
    <col min="1" max="1" width="22.7109375" customWidth="1"/>
    <col min="2" max="2" width="20" customWidth="1"/>
    <col min="3" max="3" width="17" customWidth="1"/>
    <col min="4" max="4" width="15" customWidth="1"/>
    <col min="6" max="6" width="21.140625" bestFit="1" customWidth="1"/>
  </cols>
  <sheetData>
    <row r="1" spans="1:8" ht="30.75" customHeight="1" x14ac:dyDescent="0.25">
      <c r="A1" s="40" t="s">
        <v>68</v>
      </c>
      <c r="B1" s="40"/>
      <c r="C1" s="40"/>
      <c r="D1" s="40"/>
      <c r="E1" s="40"/>
      <c r="F1" s="40"/>
      <c r="G1" s="40"/>
      <c r="H1" s="40"/>
    </row>
    <row r="2" spans="1:8" x14ac:dyDescent="0.25">
      <c r="A2" s="41" t="s">
        <v>69</v>
      </c>
      <c r="B2" s="41"/>
      <c r="C2" s="41"/>
      <c r="D2" s="41"/>
      <c r="E2" s="41"/>
      <c r="F2" s="41"/>
      <c r="G2" s="41"/>
      <c r="H2" s="41"/>
    </row>
    <row r="3" spans="1:8" ht="30.75" customHeight="1" x14ac:dyDescent="0.25">
      <c r="A3" s="32" t="s">
        <v>70</v>
      </c>
      <c r="B3" s="32"/>
      <c r="C3" s="32"/>
      <c r="D3" s="32"/>
      <c r="E3" s="32"/>
      <c r="F3" s="32"/>
      <c r="G3" s="32"/>
      <c r="H3" s="32"/>
    </row>
    <row r="4" spans="1:8" ht="32.25" customHeight="1" x14ac:dyDescent="0.25">
      <c r="A4" s="28" t="s">
        <v>71</v>
      </c>
      <c r="B4" s="28"/>
      <c r="C4" s="28"/>
      <c r="D4" s="28"/>
      <c r="E4" s="28"/>
      <c r="F4" s="28"/>
      <c r="G4" s="28"/>
      <c r="H4" s="28"/>
    </row>
    <row r="6" spans="1:8" ht="31.5" customHeight="1" x14ac:dyDescent="0.25">
      <c r="A6" s="32" t="s">
        <v>72</v>
      </c>
      <c r="B6" s="32"/>
      <c r="C6" s="32"/>
      <c r="D6" s="32"/>
      <c r="E6" s="32"/>
      <c r="F6" s="32"/>
      <c r="G6" s="32"/>
      <c r="H6" s="32"/>
    </row>
    <row r="7" spans="1:8" x14ac:dyDescent="0.25">
      <c r="A7" t="s">
        <v>75</v>
      </c>
      <c r="B7">
        <v>5000</v>
      </c>
    </row>
    <row r="8" spans="1:8" x14ac:dyDescent="0.25">
      <c r="A8" t="s">
        <v>51</v>
      </c>
      <c r="B8">
        <v>30</v>
      </c>
    </row>
    <row r="9" spans="1:8" x14ac:dyDescent="0.25">
      <c r="A9" t="s">
        <v>59</v>
      </c>
      <c r="B9">
        <v>1050</v>
      </c>
    </row>
    <row r="10" spans="1:8" x14ac:dyDescent="0.25">
      <c r="A10" t="s">
        <v>24</v>
      </c>
      <c r="B10" s="7">
        <v>1.2500000000000001E-2</v>
      </c>
    </row>
    <row r="11" spans="1:8" x14ac:dyDescent="0.25">
      <c r="A11" s="12" t="s">
        <v>76</v>
      </c>
    </row>
    <row r="12" spans="1:8" x14ac:dyDescent="0.25">
      <c r="A12" t="s">
        <v>73</v>
      </c>
      <c r="B12" s="14">
        <f>PV(B10,B8,-B9)</f>
        <v>26133.351542323628</v>
      </c>
      <c r="C12" t="str" cm="1">
        <f t="array" aca="1" ref="C12" ca="1">getformula(B12)</f>
        <v>&lt;-- =PV(B10,B8,-B9)</v>
      </c>
    </row>
    <row r="13" spans="1:8" x14ac:dyDescent="0.25">
      <c r="A13" t="s">
        <v>53</v>
      </c>
      <c r="B13" s="27">
        <f>B9*((1-(1+B10)^-B8)/B10)</f>
        <v>26133.351542323628</v>
      </c>
      <c r="C13" t="str" cm="1">
        <f t="array" aca="1" ref="C13" ca="1">getformula(B13)</f>
        <v>&lt;-- =B9*((1-(1+B10)^-B8)/B10)</v>
      </c>
    </row>
    <row r="14" spans="1:8" x14ac:dyDescent="0.25">
      <c r="A14" s="2" t="s">
        <v>77</v>
      </c>
      <c r="C14" s="14"/>
    </row>
    <row r="15" spans="1:8" x14ac:dyDescent="0.25">
      <c r="A15" s="2"/>
      <c r="B15" s="14">
        <f>B7+B12</f>
        <v>31133.351542323628</v>
      </c>
      <c r="C15" s="14" t="str" cm="1">
        <f t="array" aca="1" ref="C15" ca="1">getformula(B15)</f>
        <v>&lt;-- =B7+B12</v>
      </c>
    </row>
    <row r="16" spans="1:8" x14ac:dyDescent="0.25">
      <c r="C16" s="14">
        <f>PMT(B10,B8,-B12)</f>
        <v>1049.9999999999995</v>
      </c>
      <c r="D16" t="str" cm="1">
        <f t="array" aca="1" ref="D16" ca="1">getformula(C16)</f>
        <v>&lt;-- =PMT(B10,B8,-B12)</v>
      </c>
    </row>
    <row r="17" spans="1:11" x14ac:dyDescent="0.25">
      <c r="C17" s="14">
        <f>FV(B10,B8,-B9)</f>
        <v>37935.522240600367</v>
      </c>
      <c r="D17" t="str" cm="1">
        <f t="array" aca="1" ref="D17" ca="1">getformula(C17)</f>
        <v>&lt;-- =FV(B10,B8,-B9)</v>
      </c>
    </row>
    <row r="18" spans="1:11" x14ac:dyDescent="0.25">
      <c r="C18" s="14">
        <f>FV(B10,B8,,-B12)</f>
        <v>37935.522240600367</v>
      </c>
      <c r="D18" t="str" cm="1">
        <f t="array" aca="1" ref="D18" ca="1">getformula(C18)</f>
        <v>&lt;-- =FV(B10,B8,,-B12)</v>
      </c>
    </row>
    <row r="19" spans="1:11" x14ac:dyDescent="0.25">
      <c r="F19" s="14"/>
      <c r="G19" s="1"/>
    </row>
    <row r="20" spans="1:11" x14ac:dyDescent="0.25">
      <c r="B20" s="1"/>
      <c r="G20" s="1"/>
    </row>
    <row r="21" spans="1:11" x14ac:dyDescent="0.25">
      <c r="A21" s="12" t="s">
        <v>74</v>
      </c>
      <c r="D21" s="7">
        <f>IRR(D23:D53)</f>
        <v>1.5609766355359822E-2</v>
      </c>
      <c r="E21" t="str" cm="1">
        <f t="array" aca="1" ref="E21" ca="1">getformula(D21)</f>
        <v>&lt;-- =IRR(D23:D53)</v>
      </c>
    </row>
    <row r="22" spans="1:11" ht="48" customHeight="1" x14ac:dyDescent="0.25">
      <c r="A22" s="11" t="s">
        <v>78</v>
      </c>
      <c r="B22" s="19" t="s">
        <v>75</v>
      </c>
      <c r="C22" s="19" t="s">
        <v>79</v>
      </c>
      <c r="D22" s="19" t="s">
        <v>80</v>
      </c>
      <c r="F22" s="19" t="s">
        <v>84</v>
      </c>
      <c r="G22" s="19" t="s">
        <v>81</v>
      </c>
      <c r="H22" s="19" t="s">
        <v>82</v>
      </c>
      <c r="I22" s="19" t="s">
        <v>83</v>
      </c>
      <c r="K22" t="str" cm="1">
        <f t="array" aca="1" ref="K22" ca="1">getformula(G24)</f>
        <v>&lt;-- =$D$21*F24</v>
      </c>
    </row>
    <row r="23" spans="1:11" x14ac:dyDescent="0.25">
      <c r="A23" s="5">
        <v>0</v>
      </c>
      <c r="B23">
        <v>30000</v>
      </c>
      <c r="C23">
        <v>5000</v>
      </c>
      <c r="D23">
        <f>B23-C23</f>
        <v>25000</v>
      </c>
      <c r="G23" s="6"/>
      <c r="I23" s="6"/>
    </row>
    <row r="24" spans="1:11" x14ac:dyDescent="0.25">
      <c r="A24" s="5">
        <f>A23+1</f>
        <v>1</v>
      </c>
      <c r="B24">
        <v>0</v>
      </c>
      <c r="C24">
        <v>1050</v>
      </c>
      <c r="D24">
        <f t="shared" ref="D24:D53" si="0">B24-C24</f>
        <v>-1050</v>
      </c>
      <c r="F24">
        <f>25000</f>
        <v>25000</v>
      </c>
      <c r="G24" s="6">
        <f>$D$21*F24</f>
        <v>390.24415888399557</v>
      </c>
      <c r="H24">
        <v>1050</v>
      </c>
      <c r="I24" s="6">
        <f>F24+G24-H24</f>
        <v>24340.244158883994</v>
      </c>
      <c r="J24" t="str" cm="1">
        <f t="array" aca="1" ref="J24" ca="1">getformula(I24)</f>
        <v>&lt;-- =F24+G24-H24</v>
      </c>
    </row>
    <row r="25" spans="1:11" x14ac:dyDescent="0.25">
      <c r="A25" s="5">
        <f t="shared" ref="A25:A53" si="1">A24+1</f>
        <v>2</v>
      </c>
      <c r="B25">
        <v>0</v>
      </c>
      <c r="C25">
        <v>1050</v>
      </c>
      <c r="D25">
        <f t="shared" si="0"/>
        <v>-1050</v>
      </c>
      <c r="F25" s="6">
        <f t="shared" ref="F25:F53" si="2">I24</f>
        <v>24340.244158883994</v>
      </c>
      <c r="G25" s="6">
        <f t="shared" ref="G25:G53" si="3">$D$21*F25</f>
        <v>379.94552435259078</v>
      </c>
      <c r="H25">
        <v>1050</v>
      </c>
      <c r="I25" s="6">
        <f t="shared" ref="I25:I53" si="4">F25+G25-H25</f>
        <v>23670.189683236586</v>
      </c>
    </row>
    <row r="26" spans="1:11" x14ac:dyDescent="0.25">
      <c r="A26" s="5">
        <f t="shared" si="1"/>
        <v>3</v>
      </c>
      <c r="B26">
        <v>0</v>
      </c>
      <c r="C26">
        <v>1050</v>
      </c>
      <c r="D26">
        <f t="shared" si="0"/>
        <v>-1050</v>
      </c>
      <c r="F26" s="6">
        <f t="shared" si="2"/>
        <v>23670.189683236586</v>
      </c>
      <c r="G26" s="6">
        <f t="shared" si="3"/>
        <v>369.4861305423716</v>
      </c>
      <c r="H26">
        <v>1050</v>
      </c>
      <c r="I26" s="6">
        <f t="shared" si="4"/>
        <v>22989.675813778958</v>
      </c>
    </row>
    <row r="27" spans="1:11" x14ac:dyDescent="0.25">
      <c r="A27" s="5">
        <f t="shared" si="1"/>
        <v>4</v>
      </c>
      <c r="B27">
        <v>0</v>
      </c>
      <c r="C27">
        <v>1050</v>
      </c>
      <c r="D27">
        <f t="shared" si="0"/>
        <v>-1050</v>
      </c>
      <c r="F27" s="6">
        <f t="shared" si="2"/>
        <v>22989.675813778958</v>
      </c>
      <c r="G27" s="6">
        <f t="shared" si="3"/>
        <v>358.86346803855622</v>
      </c>
      <c r="H27">
        <v>1050</v>
      </c>
      <c r="I27" s="6">
        <f t="shared" si="4"/>
        <v>22298.539281817513</v>
      </c>
    </row>
    <row r="28" spans="1:11" x14ac:dyDescent="0.25">
      <c r="A28" s="5">
        <f t="shared" si="1"/>
        <v>5</v>
      </c>
      <c r="B28">
        <v>0</v>
      </c>
      <c r="C28">
        <v>1050</v>
      </c>
      <c r="D28">
        <f t="shared" si="0"/>
        <v>-1050</v>
      </c>
      <c r="F28" s="6">
        <f t="shared" si="2"/>
        <v>22298.539281817513</v>
      </c>
      <c r="G28" s="6">
        <f t="shared" si="3"/>
        <v>348.07498825498436</v>
      </c>
      <c r="H28">
        <v>1050</v>
      </c>
      <c r="I28" s="6">
        <f t="shared" si="4"/>
        <v>21596.614270072496</v>
      </c>
    </row>
    <row r="29" spans="1:11" x14ac:dyDescent="0.25">
      <c r="A29" s="5">
        <f t="shared" si="1"/>
        <v>6</v>
      </c>
      <c r="B29">
        <v>0</v>
      </c>
      <c r="C29">
        <v>1050</v>
      </c>
      <c r="D29">
        <f t="shared" si="0"/>
        <v>-1050</v>
      </c>
      <c r="F29" s="6">
        <f t="shared" si="2"/>
        <v>21596.614270072496</v>
      </c>
      <c r="G29" s="6">
        <f t="shared" si="3"/>
        <v>337.11810282266146</v>
      </c>
      <c r="H29">
        <v>1050</v>
      </c>
      <c r="I29" s="6">
        <f t="shared" si="4"/>
        <v>20883.732372895156</v>
      </c>
    </row>
    <row r="30" spans="1:11" x14ac:dyDescent="0.25">
      <c r="A30" s="5">
        <f t="shared" si="1"/>
        <v>7</v>
      </c>
      <c r="B30">
        <v>0</v>
      </c>
      <c r="C30">
        <v>1050</v>
      </c>
      <c r="D30">
        <f t="shared" si="0"/>
        <v>-1050</v>
      </c>
      <c r="F30" s="6">
        <f t="shared" si="2"/>
        <v>20883.732372895156</v>
      </c>
      <c r="G30" s="6">
        <f t="shared" si="3"/>
        <v>325.99018296875755</v>
      </c>
      <c r="H30">
        <v>1050</v>
      </c>
      <c r="I30" s="6">
        <f t="shared" si="4"/>
        <v>20159.722555863915</v>
      </c>
    </row>
    <row r="31" spans="1:11" x14ac:dyDescent="0.25">
      <c r="A31" s="5">
        <f t="shared" si="1"/>
        <v>8</v>
      </c>
      <c r="B31">
        <v>0</v>
      </c>
      <c r="C31">
        <v>1050</v>
      </c>
      <c r="D31">
        <f t="shared" si="0"/>
        <v>-1050</v>
      </c>
      <c r="F31" s="6">
        <f t="shared" si="2"/>
        <v>20159.722555863915</v>
      </c>
      <c r="G31" s="6">
        <f t="shared" si="3"/>
        <v>314.68855888591304</v>
      </c>
      <c r="H31">
        <v>1050</v>
      </c>
      <c r="I31" s="6">
        <f t="shared" si="4"/>
        <v>19424.411114749826</v>
      </c>
    </row>
    <row r="32" spans="1:11" x14ac:dyDescent="0.25">
      <c r="A32" s="5">
        <f t="shared" si="1"/>
        <v>9</v>
      </c>
      <c r="B32">
        <v>0</v>
      </c>
      <c r="C32">
        <v>1050</v>
      </c>
      <c r="D32">
        <f t="shared" si="0"/>
        <v>-1050</v>
      </c>
      <c r="F32" s="6">
        <f t="shared" si="2"/>
        <v>19424.411114749826</v>
      </c>
      <c r="G32" s="6">
        <f t="shared" si="3"/>
        <v>303.21051909169921</v>
      </c>
      <c r="H32">
        <v>1050</v>
      </c>
      <c r="I32" s="6">
        <f t="shared" si="4"/>
        <v>18677.621633841525</v>
      </c>
    </row>
    <row r="33" spans="1:9" x14ac:dyDescent="0.25">
      <c r="A33" s="5">
        <f t="shared" si="1"/>
        <v>10</v>
      </c>
      <c r="B33">
        <v>0</v>
      </c>
      <c r="C33">
        <v>1050</v>
      </c>
      <c r="D33">
        <f t="shared" si="0"/>
        <v>-1050</v>
      </c>
      <c r="F33" s="6">
        <f t="shared" si="2"/>
        <v>18677.621633841525</v>
      </c>
      <c r="G33" s="6">
        <f t="shared" si="3"/>
        <v>291.55330977808018</v>
      </c>
      <c r="H33">
        <v>1050</v>
      </c>
      <c r="I33" s="6">
        <f t="shared" si="4"/>
        <v>17919.174943619604</v>
      </c>
    </row>
    <row r="34" spans="1:9" x14ac:dyDescent="0.25">
      <c r="A34" s="5">
        <f t="shared" si="1"/>
        <v>11</v>
      </c>
      <c r="B34">
        <v>0</v>
      </c>
      <c r="C34">
        <v>1050</v>
      </c>
      <c r="D34">
        <f t="shared" si="0"/>
        <v>-1050</v>
      </c>
      <c r="F34" s="6">
        <f t="shared" si="2"/>
        <v>17919.174943619604</v>
      </c>
      <c r="G34" s="6">
        <f t="shared" si="3"/>
        <v>279.71413415072004</v>
      </c>
      <c r="H34">
        <v>1050</v>
      </c>
      <c r="I34" s="6">
        <f t="shared" si="4"/>
        <v>17148.889077770324</v>
      </c>
    </row>
    <row r="35" spans="1:9" x14ac:dyDescent="0.25">
      <c r="A35" s="5">
        <f t="shared" si="1"/>
        <v>12</v>
      </c>
      <c r="B35">
        <v>0</v>
      </c>
      <c r="C35">
        <v>1050</v>
      </c>
      <c r="D35">
        <f t="shared" si="0"/>
        <v>-1050</v>
      </c>
      <c r="F35" s="6">
        <f t="shared" si="2"/>
        <v>17148.889077770324</v>
      </c>
      <c r="G35" s="6">
        <f t="shared" si="3"/>
        <v>267.69015175797671</v>
      </c>
      <c r="H35">
        <v>1050</v>
      </c>
      <c r="I35" s="6">
        <f t="shared" si="4"/>
        <v>16366.579229528299</v>
      </c>
    </row>
    <row r="36" spans="1:9" x14ac:dyDescent="0.25">
      <c r="A36" s="5">
        <f t="shared" si="1"/>
        <v>13</v>
      </c>
      <c r="B36">
        <v>0</v>
      </c>
      <c r="C36">
        <v>1050</v>
      </c>
      <c r="D36">
        <f t="shared" si="0"/>
        <v>-1050</v>
      </c>
      <c r="F36" s="6">
        <f t="shared" si="2"/>
        <v>16366.579229528299</v>
      </c>
      <c r="G36" s="6">
        <f t="shared" si="3"/>
        <v>255.47847780942172</v>
      </c>
      <c r="H36">
        <v>1050</v>
      </c>
      <c r="I36" s="6">
        <f t="shared" si="4"/>
        <v>15572.057707337721</v>
      </c>
    </row>
    <row r="37" spans="1:9" x14ac:dyDescent="0.25">
      <c r="A37" s="5">
        <f t="shared" si="1"/>
        <v>14</v>
      </c>
      <c r="B37">
        <v>0</v>
      </c>
      <c r="C37">
        <v>1050</v>
      </c>
      <c r="D37">
        <f t="shared" si="0"/>
        <v>-1050</v>
      </c>
      <c r="F37" s="6">
        <f t="shared" si="2"/>
        <v>15572.057707337721</v>
      </c>
      <c r="G37" s="6">
        <f t="shared" si="3"/>
        <v>243.07618248372196</v>
      </c>
      <c r="H37">
        <v>1050</v>
      </c>
      <c r="I37" s="6">
        <f t="shared" si="4"/>
        <v>14765.133889821444</v>
      </c>
    </row>
    <row r="38" spans="1:9" x14ac:dyDescent="0.25">
      <c r="A38" s="5">
        <f t="shared" si="1"/>
        <v>15</v>
      </c>
      <c r="B38">
        <v>0</v>
      </c>
      <c r="C38">
        <v>1050</v>
      </c>
      <c r="D38">
        <f t="shared" si="0"/>
        <v>-1050</v>
      </c>
      <c r="F38" s="6">
        <f t="shared" si="2"/>
        <v>14765.133889821444</v>
      </c>
      <c r="G38" s="6">
        <f t="shared" si="3"/>
        <v>230.48029022571788</v>
      </c>
      <c r="H38">
        <v>1050</v>
      </c>
      <c r="I38" s="6">
        <f t="shared" si="4"/>
        <v>13945.614180047161</v>
      </c>
    </row>
    <row r="39" spans="1:9" x14ac:dyDescent="0.25">
      <c r="A39" s="5">
        <f t="shared" si="1"/>
        <v>16</v>
      </c>
      <c r="B39">
        <v>0</v>
      </c>
      <c r="C39">
        <v>1050</v>
      </c>
      <c r="D39">
        <f t="shared" si="0"/>
        <v>-1050</v>
      </c>
      <c r="F39" s="6">
        <f t="shared" si="2"/>
        <v>13945.614180047161</v>
      </c>
      <c r="G39" s="6">
        <f t="shared" si="3"/>
        <v>217.68777903252902</v>
      </c>
      <c r="H39">
        <v>1050</v>
      </c>
      <c r="I39" s="6">
        <f t="shared" si="4"/>
        <v>13113.30195907969</v>
      </c>
    </row>
    <row r="40" spans="1:9" x14ac:dyDescent="0.25">
      <c r="A40" s="5">
        <f t="shared" si="1"/>
        <v>17</v>
      </c>
      <c r="B40">
        <v>0</v>
      </c>
      <c r="C40">
        <v>1050</v>
      </c>
      <c r="D40">
        <f t="shared" si="0"/>
        <v>-1050</v>
      </c>
      <c r="F40" s="6">
        <f t="shared" si="2"/>
        <v>13113.30195907969</v>
      </c>
      <c r="G40" s="6">
        <f t="shared" si="3"/>
        <v>204.69557972851618</v>
      </c>
      <c r="H40">
        <v>1050</v>
      </c>
      <c r="I40" s="6">
        <f t="shared" si="4"/>
        <v>12267.997538808206</v>
      </c>
    </row>
    <row r="41" spans="1:9" x14ac:dyDescent="0.25">
      <c r="A41" s="5">
        <f t="shared" si="1"/>
        <v>18</v>
      </c>
      <c r="B41">
        <v>0</v>
      </c>
      <c r="C41">
        <v>1050</v>
      </c>
      <c r="D41">
        <f t="shared" si="0"/>
        <v>-1050</v>
      </c>
      <c r="F41" s="6">
        <f t="shared" si="2"/>
        <v>12267.997538808206</v>
      </c>
      <c r="G41" s="6">
        <f t="shared" si="3"/>
        <v>191.50057522892544</v>
      </c>
      <c r="H41">
        <v>1050</v>
      </c>
      <c r="I41" s="6">
        <f t="shared" si="4"/>
        <v>11409.498114037131</v>
      </c>
    </row>
    <row r="42" spans="1:9" x14ac:dyDescent="0.25">
      <c r="A42" s="5">
        <f t="shared" si="1"/>
        <v>19</v>
      </c>
      <c r="B42">
        <v>0</v>
      </c>
      <c r="C42">
        <v>1050</v>
      </c>
      <c r="D42">
        <f t="shared" si="0"/>
        <v>-1050</v>
      </c>
      <c r="F42" s="6">
        <f t="shared" si="2"/>
        <v>11409.498114037131</v>
      </c>
      <c r="G42" s="6">
        <f t="shared" si="3"/>
        <v>178.09959979203816</v>
      </c>
      <c r="H42">
        <v>1050</v>
      </c>
      <c r="I42" s="6">
        <f t="shared" si="4"/>
        <v>10537.597713829169</v>
      </c>
    </row>
    <row r="43" spans="1:9" x14ac:dyDescent="0.25">
      <c r="A43" s="5">
        <f t="shared" si="1"/>
        <v>20</v>
      </c>
      <c r="B43">
        <v>0</v>
      </c>
      <c r="C43">
        <v>1050</v>
      </c>
      <c r="D43">
        <f t="shared" si="0"/>
        <v>-1050</v>
      </c>
      <c r="F43" s="6">
        <f t="shared" si="2"/>
        <v>10537.597713829169</v>
      </c>
      <c r="G43" s="6">
        <f t="shared" si="3"/>
        <v>164.48943825964713</v>
      </c>
      <c r="H43">
        <v>1050</v>
      </c>
      <c r="I43" s="6">
        <f t="shared" si="4"/>
        <v>9652.0871520888159</v>
      </c>
    </row>
    <row r="44" spans="1:9" x14ac:dyDescent="0.25">
      <c r="A44" s="5">
        <f t="shared" si="1"/>
        <v>21</v>
      </c>
      <c r="B44">
        <v>0</v>
      </c>
      <c r="C44">
        <v>1050</v>
      </c>
      <c r="D44">
        <f t="shared" si="0"/>
        <v>-1050</v>
      </c>
      <c r="F44" s="6">
        <f t="shared" si="2"/>
        <v>9652.0871520888159</v>
      </c>
      <c r="G44" s="6">
        <f t="shared" si="3"/>
        <v>150.66682528567679</v>
      </c>
      <c r="H44">
        <v>1050</v>
      </c>
      <c r="I44" s="6">
        <f t="shared" si="4"/>
        <v>8752.753977374492</v>
      </c>
    </row>
    <row r="45" spans="1:9" x14ac:dyDescent="0.25">
      <c r="A45" s="5">
        <f t="shared" si="1"/>
        <v>22</v>
      </c>
      <c r="B45">
        <v>0</v>
      </c>
      <c r="C45">
        <v>1050</v>
      </c>
      <c r="D45">
        <f t="shared" si="0"/>
        <v>-1050</v>
      </c>
      <c r="F45" s="6">
        <f t="shared" si="2"/>
        <v>8752.753977374492</v>
      </c>
      <c r="G45" s="6">
        <f t="shared" si="3"/>
        <v>136.6284445527622</v>
      </c>
      <c r="H45">
        <v>1050</v>
      </c>
      <c r="I45" s="6">
        <f t="shared" si="4"/>
        <v>7839.3824219272537</v>
      </c>
    </row>
    <row r="46" spans="1:9" x14ac:dyDescent="0.25">
      <c r="A46" s="5">
        <f t="shared" si="1"/>
        <v>23</v>
      </c>
      <c r="B46">
        <v>0</v>
      </c>
      <c r="C46">
        <v>1050</v>
      </c>
      <c r="D46">
        <f t="shared" si="0"/>
        <v>-1050</v>
      </c>
      <c r="F46" s="6">
        <f t="shared" si="2"/>
        <v>7839.3824219272537</v>
      </c>
      <c r="G46" s="6">
        <f t="shared" si="3"/>
        <v>122.37092797659925</v>
      </c>
      <c r="H46">
        <v>1050</v>
      </c>
      <c r="I46" s="6">
        <f t="shared" si="4"/>
        <v>6911.7533499038527</v>
      </c>
    </row>
    <row r="47" spans="1:9" x14ac:dyDescent="0.25">
      <c r="A47" s="5">
        <f t="shared" si="1"/>
        <v>24</v>
      </c>
      <c r="B47">
        <v>0</v>
      </c>
      <c r="C47">
        <v>1050</v>
      </c>
      <c r="D47">
        <f t="shared" si="0"/>
        <v>-1050</v>
      </c>
      <c r="F47" s="6">
        <f t="shared" si="2"/>
        <v>6911.7533499038527</v>
      </c>
      <c r="G47" s="6">
        <f t="shared" si="3"/>
        <v>107.8908548978747</v>
      </c>
      <c r="H47">
        <v>1050</v>
      </c>
      <c r="I47" s="6">
        <f t="shared" si="4"/>
        <v>5969.644204801727</v>
      </c>
    </row>
    <row r="48" spans="1:9" x14ac:dyDescent="0.25">
      <c r="A48" s="5">
        <f t="shared" si="1"/>
        <v>25</v>
      </c>
      <c r="B48">
        <v>0</v>
      </c>
      <c r="C48">
        <v>1050</v>
      </c>
      <c r="D48">
        <f t="shared" si="0"/>
        <v>-1050</v>
      </c>
      <c r="F48" s="6">
        <f t="shared" si="2"/>
        <v>5969.644204801727</v>
      </c>
      <c r="G48" s="6">
        <f t="shared" si="3"/>
        <v>93.184751261582733</v>
      </c>
      <c r="H48">
        <v>1050</v>
      </c>
      <c r="I48" s="6">
        <f t="shared" si="4"/>
        <v>5012.8289560633093</v>
      </c>
    </row>
    <row r="49" spans="1:9" x14ac:dyDescent="0.25">
      <c r="A49" s="5">
        <f t="shared" si="1"/>
        <v>26</v>
      </c>
      <c r="B49">
        <v>0</v>
      </c>
      <c r="C49">
        <v>1050</v>
      </c>
      <c r="D49">
        <f t="shared" si="0"/>
        <v>-1050</v>
      </c>
      <c r="F49" s="6">
        <f t="shared" si="2"/>
        <v>5012.8289560633093</v>
      </c>
      <c r="G49" s="6">
        <f t="shared" si="3"/>
        <v>78.249088783530539</v>
      </c>
      <c r="H49">
        <v>1050</v>
      </c>
      <c r="I49" s="6">
        <f t="shared" si="4"/>
        <v>4041.0780448468395</v>
      </c>
    </row>
    <row r="50" spans="1:9" x14ac:dyDescent="0.25">
      <c r="A50" s="5">
        <f t="shared" si="1"/>
        <v>27</v>
      </c>
      <c r="B50">
        <v>0</v>
      </c>
      <c r="C50">
        <v>1050</v>
      </c>
      <c r="D50">
        <f t="shared" si="0"/>
        <v>-1050</v>
      </c>
      <c r="F50" s="6">
        <f t="shared" si="2"/>
        <v>4041.0780448468395</v>
      </c>
      <c r="G50" s="6">
        <f t="shared" si="3"/>
        <v>63.080284103833442</v>
      </c>
      <c r="H50">
        <v>1050</v>
      </c>
      <c r="I50" s="6">
        <f t="shared" si="4"/>
        <v>3054.1583289506725</v>
      </c>
    </row>
    <row r="51" spans="1:9" x14ac:dyDescent="0.25">
      <c r="A51" s="5">
        <f t="shared" si="1"/>
        <v>28</v>
      </c>
      <c r="B51">
        <v>0</v>
      </c>
      <c r="C51">
        <v>1050</v>
      </c>
      <c r="D51">
        <f t="shared" si="0"/>
        <v>-1050</v>
      </c>
      <c r="F51" s="6">
        <f t="shared" si="2"/>
        <v>3054.1583289506725</v>
      </c>
      <c r="G51" s="6">
        <f t="shared" si="3"/>
        <v>47.674697927196185</v>
      </c>
      <c r="H51">
        <v>1050</v>
      </c>
      <c r="I51" s="6">
        <f t="shared" si="4"/>
        <v>2051.8330268778686</v>
      </c>
    </row>
    <row r="52" spans="1:9" x14ac:dyDescent="0.25">
      <c r="A52" s="5">
        <f t="shared" si="1"/>
        <v>29</v>
      </c>
      <c r="B52">
        <v>0</v>
      </c>
      <c r="C52">
        <v>1050</v>
      </c>
      <c r="D52">
        <f t="shared" si="0"/>
        <v>-1050</v>
      </c>
      <c r="F52" s="6">
        <f t="shared" si="2"/>
        <v>2051.8330268778686</v>
      </c>
      <c r="G52" s="6">
        <f t="shared" si="3"/>
        <v>32.028634149774263</v>
      </c>
      <c r="H52">
        <v>1050</v>
      </c>
      <c r="I52" s="6">
        <f t="shared" si="4"/>
        <v>1033.8616610276431</v>
      </c>
    </row>
    <row r="53" spans="1:9" x14ac:dyDescent="0.25">
      <c r="A53" s="5">
        <f t="shared" si="1"/>
        <v>30</v>
      </c>
      <c r="B53">
        <v>0</v>
      </c>
      <c r="C53">
        <v>1050</v>
      </c>
      <c r="D53">
        <f t="shared" si="0"/>
        <v>-1050</v>
      </c>
      <c r="F53" s="6">
        <f t="shared" si="2"/>
        <v>1033.8616610276431</v>
      </c>
      <c r="G53" s="6">
        <f t="shared" si="3"/>
        <v>16.138338972405723</v>
      </c>
      <c r="H53">
        <v>1050</v>
      </c>
      <c r="I53" s="6">
        <f t="shared" si="4"/>
        <v>4.8885340220294893E-11</v>
      </c>
    </row>
    <row r="54" spans="1:9" x14ac:dyDescent="0.25">
      <c r="F54" s="6"/>
    </row>
    <row r="55" spans="1:9" ht="30.75" customHeight="1" x14ac:dyDescent="0.25">
      <c r="A55" s="25" t="s">
        <v>85</v>
      </c>
      <c r="B55" s="7">
        <f>IRR(D23:D53)</f>
        <v>1.5609766355359822E-2</v>
      </c>
    </row>
  </sheetData>
  <mergeCells count="5">
    <mergeCell ref="A1:H1"/>
    <mergeCell ref="A2:H2"/>
    <mergeCell ref="A3:H3"/>
    <mergeCell ref="A4:H4"/>
    <mergeCell ref="A6:H6"/>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66294EE-E276-4482-B772-D1CD065702C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vt:lpstr>
      <vt:lpstr>2</vt:lpstr>
      <vt:lpstr>3</vt:lpstr>
      <vt:lpstr>4</vt:lpstr>
      <vt:lpstr>5&amp;6</vt:lpstr>
      <vt:lpstr>7</vt:lpstr>
      <vt:lpstr>8</vt:lpstr>
      <vt:lpstr>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dc:creator>
  <cp:lastModifiedBy>x</cp:lastModifiedBy>
  <dcterms:created xsi:type="dcterms:W3CDTF">2025-04-28T21:36:57Z</dcterms:created>
  <dcterms:modified xsi:type="dcterms:W3CDTF">2025-05-04T09:35:17Z</dcterms:modified>
</cp:coreProperties>
</file>